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4C22BA3A-40C0-472E-BBA4-82AC0C3133E9}" xr6:coauthVersionLast="47" xr6:coauthVersionMax="47" xr10:uidLastSave="{00000000-0000-0000-0000-000000000000}"/>
  <bookViews>
    <workbookView xWindow="3630" yWindow="1635" windowWidth="21705" windowHeight="15345" activeTab="2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2" i="7" a="1"/>
  <c r="A941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A397" i="7" l="1"/>
  <c r="A398" i="7"/>
  <c r="A68" i="7"/>
  <c r="A184" i="7"/>
  <c r="A299" i="7"/>
  <c r="A426" i="7"/>
  <c r="A562" i="7"/>
  <c r="A773" i="7"/>
  <c r="A44" i="7"/>
  <c r="A527" i="7"/>
  <c r="A158" i="7"/>
  <c r="A71" i="7"/>
  <c r="A186" i="7"/>
  <c r="A301" i="7"/>
  <c r="A428" i="7"/>
  <c r="A566" i="7"/>
  <c r="A792" i="7"/>
  <c r="A157" i="7"/>
  <c r="A46" i="7"/>
  <c r="A722" i="7"/>
  <c r="A72" i="7"/>
  <c r="A187" i="7"/>
  <c r="A302" i="7"/>
  <c r="A430" i="7"/>
  <c r="A569" i="7"/>
  <c r="A794" i="7"/>
  <c r="A272" i="7"/>
  <c r="A274" i="7"/>
  <c r="A97" i="7"/>
  <c r="A212" i="7"/>
  <c r="A330" i="7"/>
  <c r="A458" i="7"/>
  <c r="A604" i="7"/>
  <c r="A849" i="7"/>
  <c r="A716" i="7"/>
  <c r="A530" i="7"/>
  <c r="A100" i="7"/>
  <c r="A215" i="7"/>
  <c r="A332" i="7"/>
  <c r="A461" i="7"/>
  <c r="A608" i="7"/>
  <c r="A854" i="7"/>
  <c r="A101" i="7"/>
  <c r="A216" i="7"/>
  <c r="A334" i="7"/>
  <c r="A462" i="7"/>
  <c r="A621" i="7"/>
  <c r="A855" i="7"/>
  <c r="A16" i="7"/>
  <c r="A126" i="7"/>
  <c r="A241" i="7"/>
  <c r="A362" i="7"/>
  <c r="A490" i="7"/>
  <c r="A647" i="7"/>
  <c r="A910" i="7"/>
  <c r="A18" i="7"/>
  <c r="A128" i="7"/>
  <c r="A244" i="7"/>
  <c r="A365" i="7"/>
  <c r="A493" i="7"/>
  <c r="A663" i="7"/>
  <c r="A918" i="7"/>
  <c r="A19" i="7"/>
  <c r="A130" i="7"/>
  <c r="A245" i="7"/>
  <c r="A366" i="7"/>
  <c r="A494" i="7"/>
  <c r="A664" i="7"/>
  <c r="A940" i="7"/>
  <c r="A42" i="7"/>
  <c r="A155" i="7"/>
  <c r="A270" i="7"/>
  <c r="A394" i="7"/>
  <c r="A524" i="7"/>
  <c r="A712" i="7"/>
  <c r="A999" i="7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F91" i="11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F96" i="11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<sst xmlns="http://schemas.openxmlformats.org/spreadsheetml/2006/main" count="788" uniqueCount="371">
  <si>
    <t>抽签序号</t>
  </si>
  <si>
    <t>名字</t>
  </si>
  <si>
    <t>A1</t>
  </si>
  <si>
    <t>司 丽荣</t>
  </si>
  <si>
    <t>A2</t>
  </si>
  <si>
    <t>哈 悦</t>
  </si>
  <si>
    <t>A3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</si>
  <si>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</si>
  <si>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</si>
  <si>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</si>
  <si>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</si>
  <si>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</si>
  <si>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</si>
  <si>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</si>
  <si>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</si>
  <si>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</si>
  <si>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</si>
  <si>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</si>
  <si>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A10</t>
  </si>
  <si>
    <t>A11</t>
  </si>
  <si>
    <t>毛 佩雷</t>
  </si>
  <si>
    <t>A12</t>
  </si>
  <si>
    <t>A13</t>
  </si>
  <si>
    <t>A14</t>
  </si>
  <si>
    <t>黄 文哲</t>
  </si>
  <si>
    <t>A15</t>
  </si>
  <si>
    <t>高 清</t>
  </si>
  <si>
    <t>A16</t>
  </si>
  <si>
    <t>A17</t>
  </si>
  <si>
    <t>Chen Jie</t>
  </si>
  <si>
    <t>A18</t>
  </si>
  <si>
    <t>黄 Shelly</t>
  </si>
  <si>
    <t>A19</t>
  </si>
  <si>
    <t>Hu Kevin</t>
  </si>
  <si>
    <t>A20</t>
  </si>
  <si>
    <t>A21</t>
  </si>
  <si>
    <t>李 文</t>
  </si>
  <si>
    <t>A22</t>
  </si>
  <si>
    <t>叶 政</t>
  </si>
  <si>
    <t>A23</t>
  </si>
  <si>
    <t>刘 勇</t>
  </si>
  <si>
    <t>A24</t>
  </si>
  <si>
    <t>A25</t>
  </si>
  <si>
    <t>赵 建勇</t>
  </si>
  <si>
    <t>A26</t>
  </si>
  <si>
    <t>王 雅峰</t>
  </si>
  <si>
    <t>A27</t>
  </si>
  <si>
    <t>A28</t>
  </si>
  <si>
    <t>A29</t>
  </si>
  <si>
    <t>A30</t>
  </si>
  <si>
    <t>A31</t>
  </si>
  <si>
    <t>Ye Sabrina</t>
  </si>
  <si>
    <t>A32</t>
  </si>
  <si>
    <t>Huo Yang</t>
  </si>
  <si>
    <t>A33</t>
  </si>
  <si>
    <t>A34</t>
  </si>
  <si>
    <t>陈 冬娥</t>
  </si>
  <si>
    <t>A35</t>
  </si>
  <si>
    <t>A36</t>
  </si>
  <si>
    <t>B1</t>
  </si>
  <si>
    <t>B2</t>
  </si>
  <si>
    <t>B3</t>
  </si>
  <si>
    <t>B4</t>
  </si>
  <si>
    <t>彭 飞</t>
  </si>
  <si>
    <t>B5</t>
  </si>
  <si>
    <t>Li Sheng</t>
  </si>
  <si>
    <t>B6</t>
  </si>
  <si>
    <t>B7</t>
  </si>
  <si>
    <t>Rong Robert</t>
  </si>
  <si>
    <t>B8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</si>
  <si>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</si>
  <si>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</si>
  <si>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</si>
  <si>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</si>
  <si>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</si>
  <si>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</si>
  <si>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</si>
  <si>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</si>
  <si>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</si>
  <si>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</si>
  <si>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</si>
  <si>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B15</t>
  </si>
  <si>
    <t>罗 野</t>
  </si>
  <si>
    <t>B16</t>
  </si>
  <si>
    <t>B17</t>
  </si>
  <si>
    <t>Lin Linda</t>
  </si>
  <si>
    <t>B18</t>
  </si>
  <si>
    <t>Feng Yaru</t>
  </si>
  <si>
    <t>B19</t>
  </si>
  <si>
    <t>Zhan Lixin</t>
  </si>
  <si>
    <t>B20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</si>
  <si>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</si>
  <si>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</si>
  <si>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</si>
  <si>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</si>
  <si>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</si>
  <si>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</si>
  <si>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</si>
  <si>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</si>
  <si>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</si>
  <si>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</si>
  <si>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</si>
  <si>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</si>
  <si>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</si>
  <si>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</si>
  <si>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</si>
  <si>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</si>
  <si>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</si>
  <si>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</si>
  <si>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</si>
  <si>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</si>
  <si>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</si>
  <si>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</si>
  <si>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</si>
  <si>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</si>
  <si>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</si>
  <si>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</si>
  <si>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</si>
  <si>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</si>
  <si>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</si>
  <si>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</si>
  <si>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</si>
  <si>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</si>
  <si>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</si>
  <si>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</si>
  <si>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</si>
  <si>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</si>
  <si>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</si>
  <si>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</si>
  <si>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</si>
  <si>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</si>
  <si>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</si>
  <si>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</si>
  <si>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</si>
  <si>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</si>
  <si>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</si>
  <si>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</si>
  <si>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</si>
  <si>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</si>
  <si>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</si>
  <si>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</si>
  <si>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</si>
  <si>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</si>
  <si>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</si>
  <si>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</si>
  <si>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</si>
  <si>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</si>
  <si>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</si>
  <si>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</si>
  <si>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</si>
  <si>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</si>
  <si>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</si>
  <si>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</si>
  <si>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</si>
  <si>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</si>
  <si>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</si>
  <si>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</si>
  <si>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</si>
  <si>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</si>
  <si>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</si>
  <si>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</si>
  <si>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</si>
  <si>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</si>
  <si>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</si>
  <si>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</si>
  <si>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</si>
  <si>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</si>
  <si>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</si>
  <si>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</si>
  <si>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</si>
  <si>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</si>
  <si>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</si>
  <si>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</si>
  <si>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</si>
  <si>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</si>
  <si>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</si>
  <si>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</si>
  <si>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</si>
  <si>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</si>
  <si>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</si>
  <si>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</si>
  <si>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</si>
  <si>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</si>
  <si>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</si>
  <si>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</si>
  <si>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</si>
  <si>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</si>
  <si>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</si>
  <si>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</si>
  <si>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</si>
  <si>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</si>
  <si>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</si>
  <si>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</si>
  <si>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</si>
  <si>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</si>
  <si>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</si>
  <si>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</si>
  <si>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</si>
  <si>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</si>
  <si>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</si>
  <si>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</si>
  <si>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</si>
  <si>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</si>
  <si>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</si>
  <si>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</si>
  <si>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</si>
  <si>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</si>
  <si>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</si>
  <si>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</si>
  <si>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</si>
  <si>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</si>
  <si>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</si>
  <si>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</si>
  <si>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</si>
  <si>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</si>
  <si>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</si>
  <si>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</si>
  <si>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</si>
  <si>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</si>
  <si>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</si>
  <si>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</si>
  <si>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</si>
  <si>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</si>
  <si>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</si>
  <si>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</si>
  <si>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</si>
  <si>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</si>
  <si>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</si>
  <si>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</si>
  <si>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</si>
  <si>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</si>
  <si>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</si>
  <si>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</si>
  <si>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</si>
  <si>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</si>
  <si>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</si>
  <si>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</si>
  <si>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</si>
  <si>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</si>
  <si>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</si>
  <si>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</si>
  <si>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</si>
  <si>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</si>
  <si>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</si>
  <si>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</si>
  <si>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</si>
  <si>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</si>
  <si>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</si>
  <si>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</si>
  <si>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</si>
  <si>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</si>
  <si>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</si>
  <si>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</si>
  <si>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</si>
  <si>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</si>
  <si>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</si>
  <si>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</si>
  <si>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</si>
  <si>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</si>
  <si>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</si>
  <si>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</si>
  <si>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</si>
  <si>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</si>
  <si>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</si>
  <si>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</si>
  <si>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</si>
  <si>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</si>
  <si>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</si>
  <si>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</si>
  <si>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</si>
  <si>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</si>
  <si>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</si>
  <si>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</si>
  <si>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</si>
  <si>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</si>
  <si>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</si>
  <si>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</si>
  <si>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</si>
  <si>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</si>
  <si>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</si>
  <si>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</si>
  <si>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</si>
  <si>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</si>
  <si>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</si>
  <si>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</si>
  <si>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</si>
  <si>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</si>
  <si>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</si>
  <si>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</si>
  <si>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</si>
  <si>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</si>
  <si>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</si>
  <si>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</si>
  <si>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</si>
  <si>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</si>
  <si>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</si>
  <si>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</si>
  <si>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</si>
  <si>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</si>
  <si>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</si>
  <si>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</si>
  <si>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</si>
  <si>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</si>
  <si>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</si>
  <si>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</si>
  <si>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</si>
  <si>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</si>
  <si>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</si>
  <si>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</si>
  <si>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</si>
  <si>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</si>
  <si>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</si>
  <si>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</si>
  <si>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</si>
  <si>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</si>
  <si>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</si>
  <si>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</si>
  <si>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</si>
  <si>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</si>
  <si>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</si>
  <si>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</si>
  <si>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</si>
  <si>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</si>
  <si>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</si>
  <si>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</si>
  <si>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</si>
  <si>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</si>
  <si>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</si>
  <si>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</si>
  <si>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</si>
  <si>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</si>
  <si>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</si>
  <si>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</si>
  <si>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</si>
  <si>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</si>
  <si>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</si>
  <si>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</si>
  <si>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</si>
  <si>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</si>
  <si>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</si>
  <si>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</si>
  <si>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</si>
  <si>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</si>
  <si>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</si>
  <si>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</si>
  <si>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</si>
  <si>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</si>
  <si>
    <t>Deng Shirley</t>
  </si>
  <si>
    <t>郭 庆</t>
  </si>
  <si>
    <t>张 立诚</t>
  </si>
  <si>
    <t>吕 秀华</t>
  </si>
  <si>
    <t>jiang 红柳</t>
  </si>
  <si>
    <t>陈 海容</t>
  </si>
  <si>
    <t>焦 冬</t>
  </si>
  <si>
    <t>Song Qingxia</t>
  </si>
  <si>
    <t>王 丽</t>
  </si>
  <si>
    <t>邢 世杰</t>
  </si>
  <si>
    <t>李 敏</t>
  </si>
  <si>
    <t>Xu Bujiang</t>
  </si>
  <si>
    <t>肖 凌闻</t>
  </si>
  <si>
    <t>叶 冰</t>
  </si>
  <si>
    <t>赵发枚</t>
  </si>
  <si>
    <t>王轶男</t>
  </si>
  <si>
    <t>贾云英</t>
  </si>
  <si>
    <t>杨芳</t>
  </si>
  <si>
    <t>王 冬艳</t>
  </si>
  <si>
    <t>Coco Cao</t>
  </si>
  <si>
    <t>吴 大本</t>
  </si>
  <si>
    <t>Peter Ye</t>
  </si>
  <si>
    <t>Xia Guibai</t>
  </si>
  <si>
    <t>Mike 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</si>
</sst>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E4DFE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D9D9D9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CCCCCC"/>
      </top>
      <bottom style="medium">
        <color rgb="FFD9D9D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1" fillId="0" borderId="1" xfId="0" applyFont="1" applyBorder="1"/>
    <xf numFmtId="0" fontId="5" fillId="2" borderId="4" xfId="0" applyFont="1" applyFill="1" applyBorder="1" applyAlignment="1">
      <alignment horizontal="right"/>
    </xf>
    <xf numFmtId="0" fontId="5" fillId="6" borderId="4" xfId="0" applyFont="1" applyFill="1" applyBorder="1" applyAlignment="1">
      <alignment horizontal="right"/>
    </xf>
    <xf numFmtId="0" fontId="5" fillId="7" borderId="2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0" fontId="1" fillId="2" borderId="0" xfId="0" applyFont="1" applyFill="1"/>
    <xf numFmtId="0" fontId="6" fillId="9" borderId="1" xfId="0" applyFont="1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0" fontId="5" fillId="11" borderId="1" xfId="0" applyFont="1" applyFill="1" applyBorder="1" applyAlignment="1">
      <alignment horizontal="right"/>
    </xf>
    <xf numFmtId="0" fontId="1" fillId="12" borderId="1" xfId="0" applyFont="1" applyFill="1" applyBorder="1"/>
    <xf numFmtId="1" fontId="1" fillId="12" borderId="1" xfId="0" applyNumberFormat="1" applyFont="1" applyFill="1" applyBorder="1"/>
    <xf numFmtId="0" fontId="5" fillId="8" borderId="1" xfId="0" applyFont="1" applyFill="1" applyBorder="1" applyAlignment="1">
      <alignment horizontal="right"/>
    </xf>
    <xf numFmtId="0" fontId="1" fillId="13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/>
    <xf numFmtId="0" fontId="1" fillId="10" borderId="1" xfId="0" applyFont="1" applyFill="1" applyBorder="1"/>
    <xf numFmtId="0" fontId="1" fillId="14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/>
    <xf numFmtId="0" fontId="5" fillId="8" borderId="4" xfId="0" applyFont="1" applyFill="1" applyBorder="1" applyAlignment="1">
      <alignment horizontal="right"/>
    </xf>
    <xf numFmtId="0" fontId="2" fillId="3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7" fillId="3" borderId="1" xfId="0" applyFont="1" applyFill="1" applyBorder="1"/>
    <xf numFmtId="0" fontId="7" fillId="15" borderId="1" xfId="0" applyFont="1" applyFill="1" applyBorder="1"/>
    <xf numFmtId="0" fontId="7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left" vertical="top"/>
    </xf>
    <xf numFmtId="0" fontId="8" fillId="15" borderId="1" xfId="0" applyFont="1" applyFill="1" applyBorder="1"/>
    <xf numFmtId="0" fontId="9" fillId="16" borderId="1" xfId="0" applyFont="1" applyFill="1" applyBorder="1"/>
    <xf numFmtId="0" fontId="8" fillId="16" borderId="1" xfId="0" applyFont="1" applyFill="1" applyBorder="1"/>
    <xf numFmtId="0" fontId="1" fillId="17" borderId="1" xfId="0" applyFont="1" applyFill="1" applyBorder="1" applyAlignment="1">
      <alignment horizontal="right"/>
    </xf>
    <xf numFmtId="0" fontId="1" fillId="17" borderId="1" xfId="0" applyFont="1" applyFill="1" applyBorder="1"/>
    <xf numFmtId="1" fontId="1" fillId="17" borderId="1" xfId="0" applyNumberFormat="1" applyFont="1" applyFill="1" applyBorder="1"/>
    <xf numFmtId="0" fontId="1" fillId="18" borderId="1" xfId="0" applyFont="1" applyFill="1" applyBorder="1" applyAlignment="1">
      <alignment horizontal="right"/>
    </xf>
    <xf numFmtId="0" fontId="1" fillId="18" borderId="1" xfId="0" applyFont="1" applyFill="1" applyBorder="1"/>
    <xf numFmtId="1" fontId="1" fillId="18" borderId="1" xfId="0" applyNumberFormat="1" applyFont="1" applyFill="1" applyBorder="1"/>
    <xf numFmtId="0" fontId="11" fillId="15" borderId="1" xfId="0" applyFont="1" applyFill="1" applyBorder="1"/>
    <xf numFmtId="0" fontId="1" fillId="0" borderId="0" xfId="0" applyFont="1" applyAlignment="1">
      <alignment horizontal="right"/>
    </xf>
    <xf numFmtId="0" fontId="12" fillId="16" borderId="1" xfId="0" applyFont="1" applyFill="1" applyBorder="1"/>
    <xf numFmtId="0" fontId="11" fillId="16" borderId="1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1" xfId="0" applyNumberFormat="1" applyFont="1" applyFill="1" applyBorder="1"/>
    <xf numFmtId="164" fontId="13" fillId="17" borderId="1" xfId="0" applyNumberFormat="1" applyFont="1" applyFill="1" applyBorder="1"/>
    <xf numFmtId="0" fontId="14" fillId="19" borderId="5" xfId="0" applyFont="1" applyFill="1" applyBorder="1" applyAlignment="1">
      <alignment horizontal="center" wrapText="1"/>
    </xf>
    <xf numFmtId="0" fontId="14" fillId="19" borderId="6" xfId="0" applyFont="1" applyFill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6" fillId="20" borderId="8" xfId="0" applyFont="1" applyFill="1" applyBorder="1" applyAlignment="1">
      <alignment horizontal="right" wrapText="1"/>
    </xf>
    <xf numFmtId="0" fontId="16" fillId="20" borderId="9" xfId="0" applyFont="1" applyFill="1" applyBorder="1" applyAlignment="1">
      <alignment horizontal="right" wrapText="1"/>
    </xf>
    <xf numFmtId="0" fontId="16" fillId="20" borderId="10" xfId="0" applyFont="1" applyFill="1" applyBorder="1" applyAlignment="1">
      <alignment horizontal="right" wrapText="1"/>
    </xf>
    <xf numFmtId="0" fontId="16" fillId="20" borderId="11" xfId="0" applyFont="1" applyFill="1" applyBorder="1" applyAlignment="1">
      <alignment horizontal="right" wrapText="1"/>
    </xf>
    <xf numFmtId="0" fontId="16" fillId="21" borderId="10" xfId="0" applyFont="1" applyFill="1" applyBorder="1" applyAlignment="1">
      <alignment horizontal="right" wrapText="1"/>
    </xf>
    <xf numFmtId="0" fontId="16" fillId="21" borderId="11" xfId="0" applyFont="1" applyFill="1" applyBorder="1" applyAlignment="1">
      <alignment horizontal="right" wrapText="1"/>
    </xf>
    <xf numFmtId="0" fontId="16" fillId="22" borderId="10" xfId="0" applyFont="1" applyFill="1" applyBorder="1" applyAlignment="1">
      <alignment horizontal="right" wrapText="1"/>
    </xf>
    <xf numFmtId="0" fontId="16" fillId="22" borderId="11" xfId="0" applyFont="1" applyFill="1" applyBorder="1" applyAlignment="1">
      <alignment horizontal="right" wrapText="1"/>
    </xf>
    <xf numFmtId="0" fontId="16" fillId="23" borderId="10" xfId="0" applyFont="1" applyFill="1" applyBorder="1" applyAlignment="1">
      <alignment horizontal="right" wrapText="1"/>
    </xf>
    <xf numFmtId="0" fontId="16" fillId="23" borderId="11" xfId="0" applyFont="1" applyFill="1" applyBorder="1" applyAlignment="1">
      <alignment horizontal="right" wrapText="1"/>
    </xf>
    <xf numFmtId="0" fontId="14" fillId="0" borderId="12" xfId="0" applyFont="1" applyBorder="1" applyAlignment="1">
      <alignment wrapText="1"/>
    </xf>
    <xf numFmtId="0" fontId="14" fillId="0" borderId="13" xfId="0" applyFont="1" applyBorder="1" applyAlignment="1">
      <alignment wrapText="1"/>
    </xf>
    <xf numFmtId="0" fontId="1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1000"/>
  <sheetViews>
    <sheetView workbookViewId="0">
      <selection activeCell="B2" sqref="B2:B37"/>
    </sheetView>
  </sheetViews>
  <sheetFormatPr defaultColWidth="12.5703125" defaultRowHeight="15.75" customHeight="1" x14ac:dyDescent="0.2"/>
  <cols>
    <col min="1" max="1" width="14.42578125" customWidth="1"/>
    <col min="2" max="2" width="15.42578125" customWidth="1"/>
  </cols>
  <sheetData>
    <row r="1" spans="1:22" ht="13.5" thickBot="1" x14ac:dyDescent="0.25">
      <c r="A1" s="54" t="s">
        <v>0</v>
      </c>
      <c r="B1" s="55" t="s">
        <v>1</v>
      </c>
      <c r="V1" s="1"/>
    </row>
    <row r="2" spans="1:22" ht="13.5" thickBot="1" x14ac:dyDescent="0.25">
      <c r="A2" s="56" t="s">
        <v>2</v>
      </c>
      <c r="B2" s="67" t="s">
        <v>45</v>
      </c>
    </row>
    <row r="3" spans="1:22" ht="13.5" thickBot="1" x14ac:dyDescent="0.25">
      <c r="A3" s="56" t="s">
        <v>4</v>
      </c>
      <c r="B3" s="68" t="s">
        <v>355</v>
      </c>
    </row>
    <row r="4" spans="1:22" ht="13.5" thickBot="1" x14ac:dyDescent="0.25">
      <c r="A4" s="56" t="s">
        <v>6</v>
      </c>
      <c r="B4" s="68" t="s">
        <v>3</v>
      </c>
    </row>
    <row r="5" spans="1:22" ht="13.5" thickBot="1" x14ac:dyDescent="0.25">
      <c r="A5" s="56" t="s">
        <v>7</v>
      </c>
      <c r="B5" s="68" t="s">
        <v>356</v>
      </c>
    </row>
    <row r="6" spans="1:22" ht="13.5" thickBot="1" x14ac:dyDescent="0.25">
      <c r="A6" s="56" t="s">
        <v>9</v>
      </c>
      <c r="B6" s="68" t="s">
        <v>33</v>
      </c>
    </row>
    <row r="7" spans="1:22" ht="13.5" thickBot="1" x14ac:dyDescent="0.25">
      <c r="A7" s="56" t="s">
        <v>11</v>
      </c>
      <c r="B7" s="68" t="s">
        <v>36</v>
      </c>
    </row>
    <row r="8" spans="1:22" ht="13.5" thickBot="1" x14ac:dyDescent="0.25">
      <c r="A8" s="56" t="s">
        <v>13</v>
      </c>
      <c r="B8" s="68" t="s">
        <v>24</v>
      </c>
    </row>
    <row r="9" spans="1:22" ht="13.5" thickBot="1" x14ac:dyDescent="0.25">
      <c r="A9" s="56" t="s">
        <v>15</v>
      </c>
      <c r="B9" s="68" t="s">
        <v>357</v>
      </c>
    </row>
    <row r="10" spans="1:22" ht="13.5" thickBot="1" x14ac:dyDescent="0.25">
      <c r="A10" s="56" t="s">
        <v>17</v>
      </c>
      <c r="B10" s="68" t="s">
        <v>14</v>
      </c>
    </row>
    <row r="11" spans="1:22" ht="13.5" thickBot="1" x14ac:dyDescent="0.25">
      <c r="A11" s="56" t="s">
        <v>18</v>
      </c>
      <c r="B11" s="68" t="s">
        <v>347</v>
      </c>
    </row>
    <row r="12" spans="1:22" ht="13.5" thickBot="1" x14ac:dyDescent="0.25">
      <c r="A12" s="56" t="s">
        <v>19</v>
      </c>
      <c r="B12" s="68" t="s">
        <v>358</v>
      </c>
    </row>
    <row r="13" spans="1:22" ht="13.5" thickBot="1" x14ac:dyDescent="0.25">
      <c r="A13" s="56" t="s">
        <v>21</v>
      </c>
      <c r="B13" s="68" t="s">
        <v>53</v>
      </c>
    </row>
    <row r="14" spans="1:22" ht="13.5" thickBot="1" x14ac:dyDescent="0.25">
      <c r="A14" s="56" t="s">
        <v>22</v>
      </c>
      <c r="B14" s="68" t="s">
        <v>31</v>
      </c>
    </row>
    <row r="15" spans="1:22" ht="13.5" thickBot="1" x14ac:dyDescent="0.25">
      <c r="A15" s="56" t="s">
        <v>23</v>
      </c>
      <c r="B15" s="68" t="s">
        <v>51</v>
      </c>
    </row>
    <row r="16" spans="1:22" ht="13.5" thickBot="1" x14ac:dyDescent="0.25">
      <c r="A16" s="56" t="s">
        <v>25</v>
      </c>
      <c r="B16" s="68" t="s">
        <v>26</v>
      </c>
    </row>
    <row r="17" spans="1:2" ht="13.5" thickBot="1" x14ac:dyDescent="0.25">
      <c r="A17" s="56" t="s">
        <v>27</v>
      </c>
      <c r="B17" s="68" t="s">
        <v>359</v>
      </c>
    </row>
    <row r="18" spans="1:2" ht="13.5" thickBot="1" x14ac:dyDescent="0.25">
      <c r="A18" s="56" t="s">
        <v>28</v>
      </c>
      <c r="B18" s="68" t="s">
        <v>360</v>
      </c>
    </row>
    <row r="19" spans="1:2" ht="13.5" thickBot="1" x14ac:dyDescent="0.25">
      <c r="A19" s="56" t="s">
        <v>30</v>
      </c>
      <c r="B19" s="68" t="s">
        <v>8</v>
      </c>
    </row>
    <row r="20" spans="1:2" ht="13.5" thickBot="1" x14ac:dyDescent="0.25">
      <c r="A20" s="56" t="s">
        <v>32</v>
      </c>
      <c r="B20" s="68" t="s">
        <v>361</v>
      </c>
    </row>
    <row r="21" spans="1:2" ht="13.5" thickBot="1" x14ac:dyDescent="0.25">
      <c r="A21" s="56" t="s">
        <v>34</v>
      </c>
      <c r="B21" s="68" t="s">
        <v>362</v>
      </c>
    </row>
    <row r="22" spans="1:2" ht="13.5" thickBot="1" x14ac:dyDescent="0.25">
      <c r="A22" s="56" t="s">
        <v>35</v>
      </c>
      <c r="B22" s="68" t="s">
        <v>5</v>
      </c>
    </row>
    <row r="23" spans="1:2" ht="13.5" thickBot="1" x14ac:dyDescent="0.25">
      <c r="A23" s="56" t="s">
        <v>37</v>
      </c>
      <c r="B23" s="68" t="s">
        <v>40</v>
      </c>
    </row>
    <row r="24" spans="1:2" ht="13.5" thickBot="1" x14ac:dyDescent="0.25">
      <c r="A24" s="56" t="s">
        <v>39</v>
      </c>
      <c r="B24" s="68" t="s">
        <v>56</v>
      </c>
    </row>
    <row r="25" spans="1:2" ht="13.5" thickBot="1" x14ac:dyDescent="0.25">
      <c r="A25" s="56" t="s">
        <v>41</v>
      </c>
      <c r="B25" s="68" t="s">
        <v>363</v>
      </c>
    </row>
    <row r="26" spans="1:2" ht="13.5" thickBot="1" x14ac:dyDescent="0.25">
      <c r="A26" s="56" t="s">
        <v>42</v>
      </c>
      <c r="B26" s="68" t="s">
        <v>12</v>
      </c>
    </row>
    <row r="27" spans="1:2" ht="13.5" thickBot="1" x14ac:dyDescent="0.25">
      <c r="A27" s="56" t="s">
        <v>44</v>
      </c>
      <c r="B27" s="68" t="s">
        <v>38</v>
      </c>
    </row>
    <row r="28" spans="1:2" ht="13.5" thickBot="1" x14ac:dyDescent="0.25">
      <c r="A28" s="56" t="s">
        <v>46</v>
      </c>
      <c r="B28" s="68" t="s">
        <v>43</v>
      </c>
    </row>
    <row r="29" spans="1:2" ht="13.5" thickBot="1" x14ac:dyDescent="0.25">
      <c r="A29" s="56" t="s">
        <v>47</v>
      </c>
      <c r="B29" s="68" t="s">
        <v>364</v>
      </c>
    </row>
    <row r="30" spans="1:2" ht="13.5" thickBot="1" x14ac:dyDescent="0.25">
      <c r="A30" s="56" t="s">
        <v>48</v>
      </c>
      <c r="B30" s="68" t="s">
        <v>10</v>
      </c>
    </row>
    <row r="31" spans="1:2" ht="13.5" thickBot="1" x14ac:dyDescent="0.25">
      <c r="A31" s="56" t="s">
        <v>49</v>
      </c>
      <c r="B31" s="68" t="s">
        <v>365</v>
      </c>
    </row>
    <row r="32" spans="1:2" ht="13.5" thickBot="1" x14ac:dyDescent="0.25">
      <c r="A32" s="56" t="s">
        <v>50</v>
      </c>
      <c r="B32" s="68" t="s">
        <v>366</v>
      </c>
    </row>
    <row r="33" spans="1:2" ht="13.5" thickBot="1" x14ac:dyDescent="0.25">
      <c r="A33" s="56" t="s">
        <v>52</v>
      </c>
      <c r="B33" s="68" t="s">
        <v>16</v>
      </c>
    </row>
    <row r="34" spans="1:2" ht="13.5" thickBot="1" x14ac:dyDescent="0.25">
      <c r="A34" s="56" t="s">
        <v>54</v>
      </c>
      <c r="B34" s="68" t="s">
        <v>367</v>
      </c>
    </row>
    <row r="35" spans="1:2" ht="13.5" thickBot="1" x14ac:dyDescent="0.25">
      <c r="A35" s="56" t="s">
        <v>55</v>
      </c>
      <c r="B35" s="68" t="s">
        <v>29</v>
      </c>
    </row>
    <row r="36" spans="1:2" ht="13.5" thickBot="1" x14ac:dyDescent="0.25">
      <c r="A36" s="56" t="s">
        <v>57</v>
      </c>
      <c r="B36" s="68" t="s">
        <v>368</v>
      </c>
    </row>
    <row r="37" spans="1:2" ht="13.5" thickBot="1" x14ac:dyDescent="0.25">
      <c r="A37" s="56" t="s">
        <v>58</v>
      </c>
      <c r="B37" s="68" t="s">
        <v>20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1000"/>
  <sheetViews>
    <sheetView workbookViewId="0">
      <selection activeCell="E31" sqref="E31"/>
    </sheetView>
  </sheetViews>
  <sheetFormatPr defaultColWidth="12.5703125" defaultRowHeight="15.75" customHeight="1" x14ac:dyDescent="0.2"/>
  <cols>
    <col min="1" max="1" width="14.42578125" customWidth="1"/>
  </cols>
  <sheetData>
    <row r="1" spans="1:2" ht="13.5" thickBot="1" x14ac:dyDescent="0.25">
      <c r="A1" s="54" t="s">
        <v>0</v>
      </c>
      <c r="B1" s="55" t="s">
        <v>1</v>
      </c>
    </row>
    <row r="2" spans="1:2" ht="13.5" thickBot="1" x14ac:dyDescent="0.25">
      <c r="A2" s="56" t="s">
        <v>59</v>
      </c>
      <c r="B2" s="67" t="s">
        <v>112</v>
      </c>
    </row>
    <row r="3" spans="1:2" ht="13.5" thickBot="1" x14ac:dyDescent="0.25">
      <c r="A3" s="56" t="s">
        <v>60</v>
      </c>
      <c r="B3" s="68" t="s">
        <v>106</v>
      </c>
    </row>
    <row r="4" spans="1:2" ht="13.5" thickBot="1" x14ac:dyDescent="0.25">
      <c r="A4" s="56" t="s">
        <v>61</v>
      </c>
      <c r="B4" s="68" t="s">
        <v>71</v>
      </c>
    </row>
    <row r="5" spans="1:2" ht="13.5" thickBot="1" x14ac:dyDescent="0.25">
      <c r="A5" s="56" t="s">
        <v>62</v>
      </c>
      <c r="B5" s="68" t="s">
        <v>349</v>
      </c>
    </row>
    <row r="6" spans="1:2" ht="13.5" thickBot="1" x14ac:dyDescent="0.25">
      <c r="A6" s="56" t="s">
        <v>64</v>
      </c>
      <c r="B6" s="68" t="s">
        <v>100</v>
      </c>
    </row>
    <row r="7" spans="1:2" ht="13.5" thickBot="1" x14ac:dyDescent="0.25">
      <c r="A7" s="56" t="s">
        <v>66</v>
      </c>
      <c r="B7" s="68" t="s">
        <v>350</v>
      </c>
    </row>
    <row r="8" spans="1:2" ht="13.5" thickBot="1" x14ac:dyDescent="0.25">
      <c r="A8" s="56" t="s">
        <v>67</v>
      </c>
      <c r="B8" s="68" t="s">
        <v>351</v>
      </c>
    </row>
    <row r="9" spans="1:2" ht="13.5" thickBot="1" x14ac:dyDescent="0.25">
      <c r="A9" s="56" t="s">
        <v>69</v>
      </c>
      <c r="B9" s="68" t="s">
        <v>102</v>
      </c>
    </row>
    <row r="10" spans="1:2" ht="13.5" thickBot="1" x14ac:dyDescent="0.25">
      <c r="A10" s="56" t="s">
        <v>70</v>
      </c>
      <c r="B10" s="68" t="s">
        <v>120</v>
      </c>
    </row>
    <row r="11" spans="1:2" ht="13.5" thickBot="1" x14ac:dyDescent="0.25">
      <c r="A11" s="56" t="s">
        <v>72</v>
      </c>
      <c r="B11" s="68" t="s">
        <v>75</v>
      </c>
    </row>
    <row r="12" spans="1:2" ht="13.5" thickBot="1" x14ac:dyDescent="0.25">
      <c r="A12" s="56" t="s">
        <v>74</v>
      </c>
      <c r="B12" s="68" t="s">
        <v>85</v>
      </c>
    </row>
    <row r="13" spans="1:2" ht="13.5" thickBot="1" x14ac:dyDescent="0.25">
      <c r="A13" s="56" t="s">
        <v>76</v>
      </c>
      <c r="B13" s="68" t="s">
        <v>96</v>
      </c>
    </row>
    <row r="14" spans="1:2" ht="13.5" thickBot="1" x14ac:dyDescent="0.25">
      <c r="A14" s="56" t="s">
        <v>78</v>
      </c>
      <c r="B14" s="68" t="s">
        <v>352</v>
      </c>
    </row>
    <row r="15" spans="1:2" ht="13.5" thickBot="1" x14ac:dyDescent="0.25">
      <c r="A15" s="56" t="s">
        <v>80</v>
      </c>
      <c r="B15" s="68" t="s">
        <v>104</v>
      </c>
    </row>
    <row r="16" spans="1:2" ht="13.5" thickBot="1" x14ac:dyDescent="0.25">
      <c r="A16" s="56" t="s">
        <v>81</v>
      </c>
      <c r="B16" s="68" t="s">
        <v>82</v>
      </c>
    </row>
    <row r="17" spans="1:2" ht="13.5" thickBot="1" x14ac:dyDescent="0.25">
      <c r="A17" s="56" t="s">
        <v>83</v>
      </c>
      <c r="B17" s="68" t="s">
        <v>110</v>
      </c>
    </row>
    <row r="18" spans="1:2" ht="13.5" thickBot="1" x14ac:dyDescent="0.25">
      <c r="A18" s="56" t="s">
        <v>84</v>
      </c>
      <c r="B18" s="68" t="s">
        <v>77</v>
      </c>
    </row>
    <row r="19" spans="1:2" ht="13.5" thickBot="1" x14ac:dyDescent="0.25">
      <c r="A19" s="56" t="s">
        <v>86</v>
      </c>
      <c r="B19" s="68" t="s">
        <v>63</v>
      </c>
    </row>
    <row r="20" spans="1:2" ht="13.5" thickBot="1" x14ac:dyDescent="0.25">
      <c r="A20" s="56" t="s">
        <v>88</v>
      </c>
      <c r="B20" s="68" t="s">
        <v>92</v>
      </c>
    </row>
    <row r="21" spans="1:2" ht="13.5" thickBot="1" x14ac:dyDescent="0.25">
      <c r="A21" s="56" t="s">
        <v>90</v>
      </c>
      <c r="B21" s="68" t="s">
        <v>87</v>
      </c>
    </row>
    <row r="22" spans="1:2" ht="13.5" thickBot="1" x14ac:dyDescent="0.25">
      <c r="A22" s="56" t="s">
        <v>91</v>
      </c>
      <c r="B22" s="68" t="s">
        <v>108</v>
      </c>
    </row>
    <row r="23" spans="1:2" ht="13.5" thickBot="1" x14ac:dyDescent="0.25">
      <c r="A23" s="56" t="s">
        <v>93</v>
      </c>
      <c r="B23" s="68" t="s">
        <v>65</v>
      </c>
    </row>
    <row r="24" spans="1:2" ht="13.5" thickBot="1" x14ac:dyDescent="0.25">
      <c r="A24" s="56" t="s">
        <v>95</v>
      </c>
      <c r="B24" s="68" t="s">
        <v>98</v>
      </c>
    </row>
    <row r="25" spans="1:2" ht="13.5" thickBot="1" x14ac:dyDescent="0.25">
      <c r="A25" s="56" t="s">
        <v>97</v>
      </c>
      <c r="B25" s="68" t="s">
        <v>369</v>
      </c>
    </row>
    <row r="26" spans="1:2" ht="13.5" thickBot="1" x14ac:dyDescent="0.25">
      <c r="A26" s="56" t="s">
        <v>99</v>
      </c>
      <c r="B26" s="68" t="s">
        <v>89</v>
      </c>
    </row>
    <row r="27" spans="1:2" ht="13.5" thickBot="1" x14ac:dyDescent="0.25">
      <c r="A27" s="56" t="s">
        <v>101</v>
      </c>
      <c r="B27" s="69" t="s">
        <v>370</v>
      </c>
    </row>
    <row r="28" spans="1:2" ht="13.5" thickBot="1" x14ac:dyDescent="0.25">
      <c r="A28" s="56" t="s">
        <v>103</v>
      </c>
      <c r="B28" s="68" t="s">
        <v>348</v>
      </c>
    </row>
    <row r="29" spans="1:2" ht="13.5" thickBot="1" x14ac:dyDescent="0.25">
      <c r="A29" s="56" t="s">
        <v>105</v>
      </c>
      <c r="B29" s="68" t="s">
        <v>73</v>
      </c>
    </row>
    <row r="30" spans="1:2" ht="13.5" thickBot="1" x14ac:dyDescent="0.25">
      <c r="A30" s="56" t="s">
        <v>107</v>
      </c>
      <c r="B30" s="68" t="s">
        <v>353</v>
      </c>
    </row>
    <row r="31" spans="1:2" ht="13.5" thickBot="1" x14ac:dyDescent="0.25">
      <c r="A31" s="56" t="s">
        <v>109</v>
      </c>
      <c r="B31" s="68" t="s">
        <v>116</v>
      </c>
    </row>
    <row r="32" spans="1:2" ht="13.5" thickBot="1" x14ac:dyDescent="0.25">
      <c r="A32" s="56" t="s">
        <v>111</v>
      </c>
      <c r="B32" s="68" t="s">
        <v>118</v>
      </c>
    </row>
    <row r="33" spans="1:2" ht="13.5" thickBot="1" x14ac:dyDescent="0.25">
      <c r="A33" s="56" t="s">
        <v>113</v>
      </c>
      <c r="B33" s="68" t="s">
        <v>114</v>
      </c>
    </row>
    <row r="34" spans="1:2" ht="13.5" thickBot="1" x14ac:dyDescent="0.25">
      <c r="A34" s="56" t="s">
        <v>115</v>
      </c>
      <c r="B34" s="68" t="s">
        <v>94</v>
      </c>
    </row>
    <row r="35" spans="1:2" ht="13.5" thickBot="1" x14ac:dyDescent="0.25">
      <c r="A35" s="56" t="s">
        <v>117</v>
      </c>
      <c r="B35" s="68" t="s">
        <v>79</v>
      </c>
    </row>
    <row r="36" spans="1:2" ht="13.5" thickBot="1" x14ac:dyDescent="0.25">
      <c r="A36" s="56" t="s">
        <v>119</v>
      </c>
      <c r="B36" s="68" t="s">
        <v>68</v>
      </c>
    </row>
    <row r="37" spans="1:2" ht="13.5" thickBot="1" x14ac:dyDescent="0.25">
      <c r="A37" s="56" t="s">
        <v>121</v>
      </c>
      <c r="B37" s="68" t="s">
        <v>354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abSelected="1" workbookViewId="0">
      <selection activeCell="C11" sqref="C11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ht="15" x14ac:dyDescent="0.2">
      <c r="A1" s="3"/>
      <c r="B1" s="4" t="s">
        <v>123</v>
      </c>
      <c r="C1" s="4" t="s">
        <v>124</v>
      </c>
      <c r="D1" s="4" t="s">
        <v>125</v>
      </c>
      <c r="E1" s="4" t="s">
        <v>126</v>
      </c>
      <c r="F1" s="4" t="s">
        <v>127</v>
      </c>
      <c r="G1" s="5" t="s">
        <v>128</v>
      </c>
      <c r="H1" s="5" t="s">
        <v>129</v>
      </c>
      <c r="I1" s="4" t="s">
        <v>130</v>
      </c>
      <c r="J1" s="4" t="s">
        <v>131</v>
      </c>
    </row>
    <row r="2" spans="1:10" ht="15.75" customHeight="1" x14ac:dyDescent="0.25">
      <c r="A2" s="6" t="s">
        <v>132</v>
      </c>
      <c r="B2" s="7" t="str">
        <f>"A" &amp; 对阵图!B2 &amp; " - " &amp; VLOOKUP("A" &amp; 对阵图!B2, A组抽签!$A:$B, 2, FALSE)</f>
        <v>A1 - 王 雅峰</v>
      </c>
      <c r="C2" s="7" t="str">
        <f>"A" &amp; 对阵图!C2 &amp; " - " &amp; VLOOKUP("A" &amp; 对阵图!C2, A组抽签!$A:$B, 2, FALSE)</f>
        <v>A18 - Li Larry</v>
      </c>
      <c r="D2" s="7" t="str">
        <f>"A" &amp; 对阵图!D2 &amp; " - " &amp; VLOOKUP("A" &amp; 对阵图!D2, A组抽签!$A:$B, 2, FALSE)</f>
        <v>A2 - 王 丽</v>
      </c>
      <c r="E2" s="7" t="str">
        <f>"A" &amp; 对阵图!E2 &amp; " - " &amp; VLOOKUP("A" &amp; 对阵图!E2, A组抽签!$A:$B, 2, FALSE)</f>
        <v>A17 - 叶 冰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133</v>
      </c>
      <c r="B3" s="7" t="str">
        <f>"A" &amp; 对阵图!B3 &amp; " - " &amp; VLOOKUP("A" &amp; 对阵图!B3, A组抽签!$A:$B, 2, FALSE)</f>
        <v>A3 - 司 丽荣</v>
      </c>
      <c r="C3" s="7" t="str">
        <f>"A" &amp; 对阵图!C3 &amp; " - " &amp; VLOOKUP("A" &amp; 对阵图!C3, A组抽签!$A:$B, 2, FALSE)</f>
        <v>A5 - Hu Kevin</v>
      </c>
      <c r="D3" s="7" t="str">
        <f>"A" &amp; 对阵图!D3 &amp; " - " &amp; VLOOKUP("A" &amp; 对阵图!D3, A组抽签!$A:$B, 2, FALSE)</f>
        <v>A4 - 邢 世杰</v>
      </c>
      <c r="E3" s="7" t="str">
        <f>"A" &amp; 对阵图!E3 &amp; " - " &amp; VLOOKUP("A" &amp; 对阵图!E3, A组抽签!$A:$B, 2, FALSE)</f>
        <v>A28 - 杨芳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134</v>
      </c>
      <c r="B4" s="7" t="str">
        <f>"A" &amp; 对阵图!B4 &amp; " - " &amp; VLOOKUP("A" &amp; 对阵图!B4, A组抽签!$A:$B, 2, FALSE)</f>
        <v>A6 - 李 文</v>
      </c>
      <c r="C4" s="7" t="str">
        <f>"A" &amp; 对阵图!C4 &amp; " - " &amp; VLOOKUP("A" &amp; 对阵图!C4, A组抽签!$A:$B, 2, FALSE)</f>
        <v>A33 - 吴 大本</v>
      </c>
      <c r="D4" s="7" t="str">
        <f>"A" &amp; 对阵图!D4 &amp; " - " &amp; VLOOKUP("A" &amp; 对阵图!D4, A组抽签!$A:$B, 2, FALSE)</f>
        <v>A7 - 黄 文哲</v>
      </c>
      <c r="E4" s="7" t="str">
        <f>"A" &amp; 对阵图!E4 &amp; " - " &amp; VLOOKUP("A" &amp; 对阵图!E4, A组抽签!$A:$B, 2, FALSE)</f>
        <v>A21 - 哈 悦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135</v>
      </c>
      <c r="B5" s="7" t="str">
        <f>"A" &amp; 对阵图!B5 &amp; " - " &amp; VLOOKUP("A" &amp; 对阵图!B5, A组抽签!$A:$B, 2, FALSE)</f>
        <v>A8 - 李 敏</v>
      </c>
      <c r="C5" s="7" t="str">
        <f>"A" &amp; 对阵图!C5 &amp; " - " &amp; VLOOKUP("A" &amp; 对阵图!C5, A组抽签!$A:$B, 2, FALSE)</f>
        <v>A22 - 刘 勇</v>
      </c>
      <c r="D5" s="7" t="str">
        <f>"A" &amp; 对阵图!D5 &amp; " - " &amp; VLOOKUP("A" &amp; 对阵图!D5, A组抽签!$A:$B, 2, FALSE)</f>
        <v>A9 - Yi Hongtao</v>
      </c>
      <c r="E5" s="7" t="str">
        <f>"A" &amp; 对阵图!E5 &amp; " - " &amp; VLOOKUP("A" &amp; 对阵图!E5, A组抽签!$A:$B, 2, FALSE)</f>
        <v>A16 - 肖 凌闻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136</v>
      </c>
      <c r="B6" s="7" t="str">
        <f>"A" &amp; 对阵图!B6 &amp; " - " &amp; VLOOKUP("A" &amp; 对阵图!B6, A组抽签!$A:$B, 2, FALSE)</f>
        <v>A10 - Deng Shirley</v>
      </c>
      <c r="C6" s="7" t="str">
        <f>"A" &amp; 对阵图!C6 &amp; " - " &amp; VLOOKUP("A" &amp; 对阵图!C6, A组抽签!$A:$B, 2, FALSE)</f>
        <v>A25 - 崔 云平</v>
      </c>
      <c r="D6" s="7" t="str">
        <f>"A" &amp; 对阵图!D6 &amp; " - " &amp; VLOOKUP("A" &amp; 对阵图!D6, A组抽签!$A:$B, 2, FALSE)</f>
        <v>A11 - Xu Bujiang</v>
      </c>
      <c r="E6" s="7" t="str">
        <f>"A" &amp; 对阵图!E6 &amp; " - " &amp; VLOOKUP("A" &amp; 对阵图!E6, A组抽签!$A:$B, 2, FALSE)</f>
        <v>A12 - Huo Yang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137</v>
      </c>
      <c r="B7" s="7" t="str">
        <f>"A" &amp; 对阵图!B7 &amp; " - " &amp; VLOOKUP("A" &amp; 对阵图!B7, A组抽签!$A:$B, 2, FALSE)</f>
        <v>A13 - 黄 Shelly</v>
      </c>
      <c r="C7" s="7" t="str">
        <f>"A" &amp; 对阵图!C7 &amp; " - " &amp; VLOOKUP("A" &amp; 对阵图!C7, A组抽签!$A:$B, 2, FALSE)</f>
        <v>A15 - 高 清</v>
      </c>
      <c r="D7" s="7" t="str">
        <f>"A" &amp; 对阵图!D7 &amp; " - " &amp; VLOOKUP("A" &amp; 对阵图!D7, A组抽签!$A:$B, 2, FALSE)</f>
        <v>A14 - Ye Sabrina</v>
      </c>
      <c r="E7" s="7" t="str">
        <f>"A" &amp; 对阵图!E7 &amp; " - " &amp; VLOOKUP("A" &amp; 对阵图!E7, A组抽签!$A:$B, 2, FALSE)</f>
        <v>A32 - 黄 伟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138</v>
      </c>
      <c r="B8" s="7" t="str">
        <f>"A" &amp; 对阵图!B8 &amp; " - " &amp; VLOOKUP("A" &amp; 对阵图!B8, A组抽签!$A:$B, 2, FALSE)</f>
        <v>A19 - 赵发枚</v>
      </c>
      <c r="C8" s="7" t="str">
        <f>"A" &amp; 对阵图!C8 &amp; " - " &amp; VLOOKUP("A" &amp; 对阵图!C8, A组抽签!$A:$B, 2, FALSE)</f>
        <v>A34 - Chen Jie</v>
      </c>
      <c r="D8" s="7" t="str">
        <f>"A" &amp; 对阵图!D8 &amp; " - " &amp; VLOOKUP("A" &amp; 对阵图!D8, A组抽签!$A:$B, 2, FALSE)</f>
        <v>A20 - 王轶男</v>
      </c>
      <c r="E8" s="7" t="str">
        <f>"A" &amp; 对阵图!E8 &amp; " - " &amp; VLOOKUP("A" &amp; 对阵图!E8, A组抽签!$A:$B, 2, FALSE)</f>
        <v>A36 - 毛 佩雷</v>
      </c>
      <c r="F8" s="8">
        <v>1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139</v>
      </c>
      <c r="B9" s="7" t="str">
        <f>"A" &amp; 对阵图!B9 &amp; " - " &amp; VLOOKUP("A" &amp; 对阵图!B9, A组抽签!$A:$B, 2, FALSE)</f>
        <v>A23 - 陈 冬娥</v>
      </c>
      <c r="C9" s="7" t="str">
        <f>"A" &amp; 对阵图!C9 &amp; " - " &amp; VLOOKUP("A" &amp; 对阵图!C9, A组抽签!$A:$B, 2, FALSE)</f>
        <v>A29 - 由 军</v>
      </c>
      <c r="D9" s="7" t="str">
        <f>"A" &amp; 对阵图!D9 &amp; " - " &amp; VLOOKUP("A" &amp; 对阵图!D9, A组抽签!$A:$B, 2, FALSE)</f>
        <v>A31 - Coco Cao</v>
      </c>
      <c r="E9" s="7" t="str">
        <f>"A" &amp; 对阵图!E9 &amp; " - " &amp; VLOOKUP("A" &amp; 对阵图!E9, A组抽签!$A:$B, 2, FALSE)</f>
        <v>A35 - Peter Ye</v>
      </c>
      <c r="F9" s="8">
        <v>2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140</v>
      </c>
      <c r="B10" s="7" t="str">
        <f>"A" &amp; 对阵图!B10 &amp; " - " &amp; VLOOKUP("A" &amp; 对阵图!B10, A组抽签!$A:$B, 2, FALSE)</f>
        <v>A24 - 贾云英</v>
      </c>
      <c r="C10" s="7" t="str">
        <f>"A" &amp; 对阵图!C10 &amp; " - " &amp; VLOOKUP("A" &amp; 对阵图!C10, A组抽签!$A:$B, 2, FALSE)</f>
        <v>A26 - 叶 政</v>
      </c>
      <c r="D10" s="7" t="str">
        <f>"A" &amp; 对阵图!D10 &amp; " - " &amp; VLOOKUP("A" &amp; 对阵图!D10, A组抽签!$A:$B, 2, FALSE)</f>
        <v>A27 - 赵 建勇</v>
      </c>
      <c r="E10" s="7" t="str">
        <f>"A" &amp; 对阵图!E10 &amp; " - " &amp; VLOOKUP("A" &amp; 对阵图!E10, A组抽签!$A:$B, 2, FALSE)</f>
        <v>A30 - 王 冬艳</v>
      </c>
      <c r="F10" s="8">
        <v>3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141</v>
      </c>
      <c r="B11" s="10" t="str">
        <f>"A" &amp; 对阵图!B11 &amp; " - " &amp; VLOOKUP("A" &amp; 对阵图!B11, A组抽签!$A:$B, 2, FALSE)</f>
        <v>A7 - 黄 文哲</v>
      </c>
      <c r="C11" s="10" t="str">
        <f>"A" &amp; 对阵图!C11 &amp; " - " &amp; VLOOKUP("A" &amp; 对阵图!C11, A组抽签!$A:$B, 2, FALSE)</f>
        <v>A28 - 杨芳</v>
      </c>
      <c r="D11" s="10" t="str">
        <f>"A" &amp; 对阵图!D11 &amp; " - " &amp; VLOOKUP("A" &amp; 对阵图!D11, A组抽签!$A:$B, 2, FALSE)</f>
        <v>A6 - 李 文</v>
      </c>
      <c r="E11" s="10" t="str">
        <f>"A" &amp; 对阵图!E11 &amp; " - " &amp; VLOOKUP("A" &amp; 对阵图!E11, A组抽签!$A:$B, 2, FALSE)</f>
        <v>A34 - Chen Jie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142</v>
      </c>
      <c r="B12" s="10" t="str">
        <f>"A" &amp; 对阵图!B12 &amp; " - " &amp; VLOOKUP("A" &amp; 对阵图!B12, A组抽签!$A:$B, 2, FALSE)</f>
        <v>A15 - 高 清</v>
      </c>
      <c r="C12" s="10" t="str">
        <f>"A" &amp; 对阵图!C12 &amp; " - " &amp; VLOOKUP("A" &amp; 对阵图!C12, A组抽签!$A:$B, 2, FALSE)</f>
        <v>A21 - 哈 悦</v>
      </c>
      <c r="D12" s="10" t="str">
        <f>"A" &amp; 对阵图!D12 &amp; " - " &amp; VLOOKUP("A" &amp; 对阵图!D12, A组抽签!$A:$B, 2, FALSE)</f>
        <v>A5 - Hu Kevin</v>
      </c>
      <c r="E12" s="10" t="str">
        <f>"A" &amp; 对阵图!E12 &amp; " - " &amp; VLOOKUP("A" &amp; 对阵图!E12, A组抽签!$A:$B, 2, FALSE)</f>
        <v>A31 - Coco Cao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143</v>
      </c>
      <c r="B13" s="10" t="str">
        <f>"A" &amp; 对阵图!B13 &amp; " - " &amp; VLOOKUP("A" &amp; 对阵图!B13, A组抽签!$A:$B, 2, FALSE)</f>
        <v>A9 - Yi Hongtao</v>
      </c>
      <c r="C13" s="10" t="str">
        <f>"A" &amp; 对阵图!C13 &amp; " - " &amp; VLOOKUP("A" &amp; 对阵图!C13, A组抽签!$A:$B, 2, FALSE)</f>
        <v>A20 - 王轶男</v>
      </c>
      <c r="D13" s="10" t="str">
        <f>"A" &amp; 对阵图!D13 &amp; " - " &amp; VLOOKUP("A" &amp; 对阵图!D13, A组抽签!$A:$B, 2, FALSE)</f>
        <v>A2 - 王 丽</v>
      </c>
      <c r="E13" s="10" t="str">
        <f>"A" &amp; 对阵图!E13 &amp; " - " &amp; VLOOKUP("A" &amp; 对阵图!E13, A组抽签!$A:$B, 2, FALSE)</f>
        <v>A32 - 黄 伟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144</v>
      </c>
      <c r="B14" s="10" t="str">
        <f>"A" &amp; 对阵图!B14 &amp; " - " &amp; VLOOKUP("A" &amp; 对阵图!B14, A组抽签!$A:$B, 2, FALSE)</f>
        <v>A10 - Deng Shirley</v>
      </c>
      <c r="C14" s="10" t="str">
        <f>"A" &amp; 对阵图!C14 &amp; " - " &amp; VLOOKUP("A" &amp; 对阵图!C14, A组抽签!$A:$B, 2, FALSE)</f>
        <v>A22 - 刘 勇</v>
      </c>
      <c r="D14" s="10" t="str">
        <f>"A" &amp; 对阵图!D14 &amp; " - " &amp; VLOOKUP("A" &amp; 对阵图!D14, A组抽签!$A:$B, 2, FALSE)</f>
        <v>A1 - 王 雅峰</v>
      </c>
      <c r="E14" s="10" t="str">
        <f>"A" &amp; 对阵图!E14 &amp; " - " &amp; VLOOKUP("A" &amp; 对阵图!E14, A组抽签!$A:$B, 2, FALSE)</f>
        <v>A35 - Peter Ye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145</v>
      </c>
      <c r="B15" s="10" t="str">
        <f>"A" &amp; 对阵图!B15 &amp; " - " &amp; VLOOKUP("A" &amp; 对阵图!B15, A组抽签!$A:$B, 2, FALSE)</f>
        <v>A8 - 李 敏</v>
      </c>
      <c r="C15" s="10" t="str">
        <f>"A" &amp; 对阵图!C15 &amp; " - " &amp; VLOOKUP("A" &amp; 对阵图!C15, A组抽签!$A:$B, 2, FALSE)</f>
        <v>A33 - 吴 大本</v>
      </c>
      <c r="D15" s="10" t="str">
        <f>"A" &amp; 对阵图!D15 &amp; " - " &amp; VLOOKUP("A" &amp; 对阵图!D15, A组抽签!$A:$B, 2, FALSE)</f>
        <v>A3 - 司 丽荣</v>
      </c>
      <c r="E15" s="10" t="str">
        <f>"A" &amp; 对阵图!E15 &amp; " - " &amp; VLOOKUP("A" &amp; 对阵图!E15, A组抽签!$A:$B, 2, FALSE)</f>
        <v>A4 - 邢 世杰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146</v>
      </c>
      <c r="B16" s="10" t="str">
        <f>"A" &amp; 对阵图!B16 &amp; " - " &amp; VLOOKUP("A" &amp; 对阵图!B16, A组抽签!$A:$B, 2, FALSE)</f>
        <v>A29 - 由 军</v>
      </c>
      <c r="C16" s="10" t="str">
        <f>"A" &amp; 对阵图!C16 &amp; " - " &amp; VLOOKUP("A" &amp; 对阵图!C16, A组抽签!$A:$B, 2, FALSE)</f>
        <v>A30 - 王 冬艳</v>
      </c>
      <c r="D16" s="10" t="str">
        <f>"A" &amp; 对阵图!D16 &amp; " - " &amp; VLOOKUP("A" &amp; 对阵图!D16, A组抽签!$A:$B, 2, FALSE)</f>
        <v>A11 - Xu Bujiang</v>
      </c>
      <c r="E16" s="10" t="str">
        <f>"A" &amp; 对阵图!E16 &amp; " - " &amp; VLOOKUP("A" &amp; 对阵图!E16, A组抽签!$A:$B, 2, FALSE)</f>
        <v>A17 - 叶 冰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147</v>
      </c>
      <c r="B17" s="10" t="str">
        <f>"A" &amp; 对阵图!B17 &amp; " - " &amp; VLOOKUP("A" &amp; 对阵图!B17, A组抽签!$A:$B, 2, FALSE)</f>
        <v>A23 - 陈 冬娥</v>
      </c>
      <c r="C17" s="10" t="str">
        <f>"A" &amp; 对阵图!C17 &amp; " - " &amp; VLOOKUP("A" &amp; 对阵图!C17, A组抽签!$A:$B, 2, FALSE)</f>
        <v>A26 - 叶 政</v>
      </c>
      <c r="D17" s="10" t="str">
        <f>"A" &amp; 对阵图!D17 &amp; " - " &amp; VLOOKUP("A" &amp; 对阵图!D17, A组抽签!$A:$B, 2, FALSE)</f>
        <v>A12 - Huo Yang</v>
      </c>
      <c r="E17" s="10" t="str">
        <f>"A" &amp; 对阵图!E17 &amp; " - " &amp; VLOOKUP("A" &amp; 对阵图!E17, A组抽签!$A:$B, 2, FALSE)</f>
        <v>A13 - 黄 Shelly</v>
      </c>
      <c r="F17" s="8">
        <v>1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148</v>
      </c>
      <c r="B18" s="10" t="str">
        <f>"A" &amp; 对阵图!B18 &amp; " - " &amp; VLOOKUP("A" &amp; 对阵图!B18, A组抽签!$A:$B, 2, FALSE)</f>
        <v>A19 - 赵发枚</v>
      </c>
      <c r="C18" s="10" t="str">
        <f>"A" &amp; 对阵图!C18 &amp; " - " &amp; VLOOKUP("A" &amp; 对阵图!C18, A组抽签!$A:$B, 2, FALSE)</f>
        <v>A24 - 贾云英</v>
      </c>
      <c r="D18" s="10" t="str">
        <f>"A" &amp; 对阵图!D18 &amp; " - " &amp; VLOOKUP("A" &amp; 对阵图!D18, A组抽签!$A:$B, 2, FALSE)</f>
        <v>A14 - Ye Sabrina</v>
      </c>
      <c r="E18" s="10" t="str">
        <f>"A" &amp; 对阵图!E18 &amp; " - " &amp; VLOOKUP("A" &amp; 对阵图!E18, A组抽签!$A:$B, 2, FALSE)</f>
        <v>A25 - 崔 云平</v>
      </c>
      <c r="F18" s="8">
        <v>2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149</v>
      </c>
      <c r="B19" s="10" t="str">
        <f>"A" &amp; 对阵图!B19 &amp; " - " &amp; VLOOKUP("A" &amp; 对阵图!B19, A组抽签!$A:$B, 2, FALSE)</f>
        <v>A18 - Li Larry</v>
      </c>
      <c r="C19" s="10" t="str">
        <f>"A" &amp; 对阵图!C19 &amp; " - " &amp; VLOOKUP("A" &amp; 对阵图!C19, A组抽签!$A:$B, 2, FALSE)</f>
        <v>A36 - 毛 佩雷</v>
      </c>
      <c r="D19" s="10" t="str">
        <f>"A" &amp; 对阵图!D19 &amp; " - " &amp; VLOOKUP("A" &amp; 对阵图!D19, A组抽签!$A:$B, 2, FALSE)</f>
        <v>A16 - 肖 凌闻</v>
      </c>
      <c r="E19" s="10" t="str">
        <f>"A" &amp; 对阵图!E19 &amp; " - " &amp; VLOOKUP("A" &amp; 对阵图!E19, A组抽签!$A:$B, 2, FALSE)</f>
        <v>A27 - 赵 建勇</v>
      </c>
      <c r="F19" s="8">
        <v>3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150</v>
      </c>
      <c r="B20" s="11" t="str">
        <f>"A" &amp; 对阵图!B20 &amp; " - " &amp; VLOOKUP("A" &amp; 对阵图!B20, A组抽签!$A:$B, 2, FALSE)</f>
        <v>A33 - 吴 大本</v>
      </c>
      <c r="C20" s="11" t="str">
        <f>"A" &amp; 对阵图!C20 &amp; " - " &amp; VLOOKUP("A" &amp; 对阵图!C20, A组抽签!$A:$B, 2, FALSE)</f>
        <v>A34 - Chen Jie</v>
      </c>
      <c r="D20" s="11" t="str">
        <f>"A" &amp; 对阵图!D20 &amp; " - " &amp; VLOOKUP("A" &amp; 对阵图!D20, A组抽签!$A:$B, 2, FALSE)</f>
        <v>A9 - Yi Hongtao</v>
      </c>
      <c r="E20" s="11" t="str">
        <f>"A" &amp; 对阵图!E20 &amp; " - " &amp; VLOOKUP("A" &amp; 对阵图!E20, A组抽签!$A:$B, 2, FALSE)</f>
        <v>A10 - Deng Shirley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151</v>
      </c>
      <c r="B21" s="11" t="str">
        <f>"A" &amp; 对阵图!B21 &amp; " - " &amp; VLOOKUP("A" &amp; 对阵图!B21, A组抽签!$A:$B, 2, FALSE)</f>
        <v>A22 - 刘 勇</v>
      </c>
      <c r="C21" s="11" t="str">
        <f>"A" &amp; 对阵图!C21 &amp; " - " &amp; VLOOKUP("A" &amp; 对阵图!C21, A组抽签!$A:$B, 2, FALSE)</f>
        <v>A30 - 王 冬艳</v>
      </c>
      <c r="D21" s="11" t="str">
        <f>"A" &amp; 对阵图!D21 &amp; " - " &amp; VLOOKUP("A" &amp; 对阵图!D21, A组抽签!$A:$B, 2, FALSE)</f>
        <v>A8 - 李 敏</v>
      </c>
      <c r="E21" s="11" t="str">
        <f>"A" &amp; 对阵图!E21 &amp; " - " &amp; VLOOKUP("A" &amp; 对阵图!E21, A组抽签!$A:$B, 2, FALSE)</f>
        <v>A14 - Ye Sabrina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152</v>
      </c>
      <c r="B22" s="11" t="str">
        <f>"A" &amp; 对阵图!B22 &amp; " - " &amp; VLOOKUP("A" &amp; 对阵图!B22, A组抽签!$A:$B, 2, FALSE)</f>
        <v>A27 - 赵 建勇</v>
      </c>
      <c r="C22" s="11" t="str">
        <f>"A" &amp; 对阵图!C22 &amp; " - " &amp; VLOOKUP("A" &amp; 对阵图!C22, A组抽签!$A:$B, 2, FALSE)</f>
        <v>A36 - 毛 佩雷</v>
      </c>
      <c r="D22" s="11" t="str">
        <f>"A" &amp; 对阵图!D22 &amp; " - " &amp; VLOOKUP("A" &amp; 对阵图!D22, A组抽签!$A:$B, 2, FALSE)</f>
        <v>A15 - 高 清</v>
      </c>
      <c r="E22" s="11" t="str">
        <f>"A" &amp; 对阵图!E22 &amp; " - " &amp; VLOOKUP("A" &amp; 对阵图!E22, A组抽签!$A:$B, 2, FALSE)</f>
        <v>A28 - 杨芳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153</v>
      </c>
      <c r="B23" s="11" t="str">
        <f>"A" &amp; 对阵图!B23 &amp; " - " &amp; VLOOKUP("A" &amp; 对阵图!B23, A组抽签!$A:$B, 2, FALSE)</f>
        <v>A7 - 黄 文哲</v>
      </c>
      <c r="C23" s="11" t="str">
        <f>"A" &amp; 对阵图!C23 &amp; " - " &amp; VLOOKUP("A" &amp; 对阵图!C23, A组抽签!$A:$B, 2, FALSE)</f>
        <v>A29 - 由 军</v>
      </c>
      <c r="D23" s="11" t="str">
        <f>"A" &amp; 对阵图!D23 &amp; " - " &amp; VLOOKUP("A" &amp; 对阵图!D23, A组抽签!$A:$B, 2, FALSE)</f>
        <v>A1 - 王 雅峰</v>
      </c>
      <c r="E23" s="11" t="str">
        <f>"A" &amp; 对阵图!E23 &amp; " - " &amp; VLOOKUP("A" &amp; 对阵图!E23, A组抽签!$A:$B, 2, FALSE)</f>
        <v>A12 - Huo Yang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154</v>
      </c>
      <c r="B24" s="11" t="str">
        <f>"A" &amp; 对阵图!B24 &amp; " - " &amp; VLOOKUP("A" &amp; 对阵图!B24, A组抽签!$A:$B, 2, FALSE)</f>
        <v>A20 - 王轶男</v>
      </c>
      <c r="C24" s="11" t="str">
        <f>"A" &amp; 对阵图!C24 &amp; " - " &amp; VLOOKUP("A" &amp; 对阵图!C24, A组抽签!$A:$B, 2, FALSE)</f>
        <v>A25 - 崔 云平</v>
      </c>
      <c r="D24" s="11" t="str">
        <f>"A" &amp; 对阵图!D24 &amp; " - " &amp; VLOOKUP("A" &amp; 对阵图!D24, A组抽签!$A:$B, 2, FALSE)</f>
        <v>A6 - 李 文</v>
      </c>
      <c r="E24" s="11" t="str">
        <f>"A" &amp; 对阵图!E24 &amp; " - " &amp; VLOOKUP("A" &amp; 对阵图!E24, A组抽签!$A:$B, 2, FALSE)</f>
        <v>A26 - 叶 政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155</v>
      </c>
      <c r="B25" s="11" t="str">
        <f>"A" &amp; 对阵图!B25 &amp; " - " &amp; VLOOKUP("A" &amp; 对阵图!B25, A组抽签!$A:$B, 2, FALSE)</f>
        <v>A13 - 黄 Shelly</v>
      </c>
      <c r="C25" s="11" t="str">
        <f>"A" &amp; 对阵图!C25 &amp; " - " &amp; VLOOKUP("A" &amp; 对阵图!C25, A组抽签!$A:$B, 2, FALSE)</f>
        <v>A35 - Peter Ye</v>
      </c>
      <c r="D25" s="11" t="str">
        <f>"A" &amp; 对阵图!D25 &amp; " - " &amp; VLOOKUP("A" &amp; 对阵图!D25, A组抽签!$A:$B, 2, FALSE)</f>
        <v>A3 - 司 丽荣</v>
      </c>
      <c r="E25" s="11" t="str">
        <f>"A" &amp; 对阵图!E25 &amp; " - " &amp; VLOOKUP("A" &amp; 对阵图!E25, A组抽签!$A:$B, 2, FALSE)</f>
        <v>A31 - Coco Cao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156</v>
      </c>
      <c r="B26" s="11" t="str">
        <f>"A" &amp; 对阵图!B26 &amp; " - " &amp; VLOOKUP("A" &amp; 对阵图!B26, A组抽签!$A:$B, 2, FALSE)</f>
        <v>A23 - 陈 冬娥</v>
      </c>
      <c r="C26" s="11" t="str">
        <f>"A" &amp; 对阵图!C26 &amp; " - " &amp; VLOOKUP("A" &amp; 对阵图!C26, A组抽签!$A:$B, 2, FALSE)</f>
        <v>A24 - 贾云英</v>
      </c>
      <c r="D26" s="11" t="str">
        <f>"A" &amp; 对阵图!D26 &amp; " - " &amp; VLOOKUP("A" &amp; 对阵图!D26, A组抽签!$A:$B, 2, FALSE)</f>
        <v>A2 - 王 丽</v>
      </c>
      <c r="E26" s="11" t="str">
        <f>"A" &amp; 对阵图!E26 &amp; " - " &amp; VLOOKUP("A" &amp; 对阵图!E26, A组抽签!$A:$B, 2, FALSE)</f>
        <v>A4 - 邢 世杰</v>
      </c>
      <c r="F26" s="8">
        <v>1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157</v>
      </c>
      <c r="B27" s="11" t="str">
        <f>"A" &amp; 对阵图!B27 &amp; " - " &amp; VLOOKUP("A" &amp; 对阵图!B27, A组抽签!$A:$B, 2, FALSE)</f>
        <v>A18 - Li Larry</v>
      </c>
      <c r="C27" s="11" t="str">
        <f>"A" &amp; 对阵图!C27 &amp; " - " &amp; VLOOKUP("A" &amp; 对阵图!C27, A组抽签!$A:$B, 2, FALSE)</f>
        <v>A19 - 赵发枚</v>
      </c>
      <c r="D27" s="11" t="str">
        <f>"A" &amp; 对阵图!D27 &amp; " - " &amp; VLOOKUP("A" &amp; 对阵图!D27, A组抽签!$A:$B, 2, FALSE)</f>
        <v>A5 - Hu Kevin</v>
      </c>
      <c r="E27" s="11" t="str">
        <f>"A" &amp; 对阵图!E27 &amp; " - " &amp; VLOOKUP("A" &amp; 对阵图!E27, A组抽签!$A:$B, 2, FALSE)</f>
        <v>A11 - Xu Bujiang</v>
      </c>
      <c r="F27" s="8">
        <v>2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158</v>
      </c>
      <c r="B28" s="11" t="str">
        <f>"A" &amp; 对阵图!B28 &amp; " - " &amp; VLOOKUP("A" &amp; 对阵图!B28, A组抽签!$A:$B, 2, FALSE)</f>
        <v>A21 - 哈 悦</v>
      </c>
      <c r="C28" s="11" t="str">
        <f>"A" &amp; 对阵图!C28 &amp; " - " &amp; VLOOKUP("A" &amp; 对阵图!C28, A组抽签!$A:$B, 2, FALSE)</f>
        <v>A32 - 黄 伟</v>
      </c>
      <c r="D28" s="11" t="str">
        <f>"A" &amp; 对阵图!D28 &amp; " - " &amp; VLOOKUP("A" &amp; 对阵图!D28, A组抽签!$A:$B, 2, FALSE)</f>
        <v>A16 - 肖 凌闻</v>
      </c>
      <c r="E28" s="11" t="str">
        <f>"A" &amp; 对阵图!E28 &amp; " - " &amp; VLOOKUP("A" &amp; 对阵图!E28, A组抽签!$A:$B, 2, FALSE)</f>
        <v>A17 - 叶 冰</v>
      </c>
      <c r="F28" s="8">
        <v>3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159</v>
      </c>
      <c r="B29" s="13" t="str">
        <f>"A" &amp; 对阵图!B29 &amp; " - " &amp; VLOOKUP("A" &amp; 对阵图!B29, A组抽签!$A:$B, 2, FALSE)</f>
        <v>A21 - 哈 悦</v>
      </c>
      <c r="C29" s="13" t="str">
        <f>"A" &amp; 对阵图!C29 &amp; " - " &amp; VLOOKUP("A" &amp; 对阵图!C29, A组抽签!$A:$B, 2, FALSE)</f>
        <v>A35 - Peter Ye</v>
      </c>
      <c r="D29" s="13" t="str">
        <f>"A" &amp; 对阵图!D29 &amp; " - " &amp; VLOOKUP("A" &amp; 对阵图!D29, A组抽签!$A:$B, 2, FALSE)</f>
        <v>A12 - Huo Yang</v>
      </c>
      <c r="E29" s="13" t="str">
        <f>"A" &amp; 对阵图!E29 &amp; " - " &amp; VLOOKUP("A" &amp; 对阵图!E29, A组抽签!$A:$B, 2, FALSE)</f>
        <v>A30 - 王 冬艳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160</v>
      </c>
      <c r="B30" s="13" t="str">
        <f>"A" &amp; 对阵图!B30 &amp; " - " &amp; VLOOKUP("A" &amp; 对阵图!B30, A组抽签!$A:$B, 2, FALSE)</f>
        <v>A19 - 赵发枚</v>
      </c>
      <c r="C30" s="13" t="str">
        <f>"A" &amp; 对阵图!C30 &amp; " - " &amp; VLOOKUP("A" &amp; 对阵图!C30, A组抽签!$A:$B, 2, FALSE)</f>
        <v>A26 - 叶 政</v>
      </c>
      <c r="D30" s="13" t="str">
        <f>"A" &amp; 对阵图!D30 &amp; " - " &amp; VLOOKUP("A" &amp; 对阵图!D30, A组抽签!$A:$B, 2, FALSE)</f>
        <v>A22 - 刘 勇</v>
      </c>
      <c r="E30" s="13" t="str">
        <f>"A" &amp; 对阵图!E30 &amp; " - " &amp; VLOOKUP("A" &amp; 对阵图!E30, A组抽签!$A:$B, 2, FALSE)</f>
        <v>A34 - Chen Jie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161</v>
      </c>
      <c r="B31" s="13" t="str">
        <f>"A" &amp; 对阵图!B31 &amp; " - " &amp; VLOOKUP("A" &amp; 对阵图!B31, A组抽签!$A:$B, 2, FALSE)</f>
        <v>A15 - 高 清</v>
      </c>
      <c r="C31" s="13" t="str">
        <f>"A" &amp; 对阵图!C31 &amp; " - " &amp; VLOOKUP("A" &amp; 对阵图!C31, A组抽签!$A:$B, 2, FALSE)</f>
        <v>A20 - 王轶男</v>
      </c>
      <c r="D31" s="13" t="str">
        <f>"A" &amp; 对阵图!D31 &amp; " - " &amp; VLOOKUP("A" &amp; 对阵图!D31, A组抽签!$A:$B, 2, FALSE)</f>
        <v>A13 - 黄 Shelly</v>
      </c>
      <c r="E31" s="13" t="str">
        <f>"A" &amp; 对阵图!E31 &amp; " - " &amp; VLOOKUP("A" &amp; 对阵图!E31, A组抽签!$A:$B, 2, FALSE)</f>
        <v>A33 - 吴 大本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162</v>
      </c>
      <c r="B32" s="13" t="str">
        <f>"A" &amp; 对阵图!B32 &amp; " - " &amp; VLOOKUP("A" &amp; 对阵图!B32, A组抽签!$A:$B, 2, FALSE)</f>
        <v>A9 - Yi Hongtao</v>
      </c>
      <c r="C32" s="13" t="str">
        <f>"A" &amp; 对阵图!C32 &amp; " - " &amp; VLOOKUP("A" &amp; 对阵图!C32, A组抽签!$A:$B, 2, FALSE)</f>
        <v>A24 - 贾云英</v>
      </c>
      <c r="D32" s="13" t="str">
        <f>"A" &amp; 对阵图!D32 &amp; " - " &amp; VLOOKUP("A" &amp; 对阵图!D32, A组抽签!$A:$B, 2, FALSE)</f>
        <v>A18 - Li Larry</v>
      </c>
      <c r="E32" s="13" t="str">
        <f>"A" &amp; 对阵图!E32 &amp; " - " &amp; VLOOKUP("A" &amp; 对阵图!E32, A组抽签!$A:$B, 2, FALSE)</f>
        <v>A28 - 杨芳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163</v>
      </c>
      <c r="B33" s="13" t="str">
        <f>"A" &amp; 对阵图!B33 &amp; " - " &amp; VLOOKUP("A" &amp; 对阵图!B33, A组抽签!$A:$B, 2, FALSE)</f>
        <v>A10 - Deng Shirley</v>
      </c>
      <c r="C33" s="13" t="str">
        <f>"A" &amp; 对阵图!C33 &amp; " - " &amp; VLOOKUP("A" &amp; 对阵图!C33, A组抽签!$A:$B, 2, FALSE)</f>
        <v>A32 - 黄 伟</v>
      </c>
      <c r="D33" s="13" t="str">
        <f>"A" &amp; 对阵图!D33 &amp; " - " &amp; VLOOKUP("A" &amp; 对阵图!D33, A组抽签!$A:$B, 2, FALSE)</f>
        <v>A8 - 李 敏</v>
      </c>
      <c r="E33" s="13" t="str">
        <f>"A" &amp; 对阵图!E33 &amp; " - " &amp; VLOOKUP("A" &amp; 对阵图!E33, A组抽签!$A:$B, 2, FALSE)</f>
        <v>A29 - 由 军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164</v>
      </c>
      <c r="B34" s="13" t="str">
        <f>"A" &amp; 对阵图!B34 &amp; " - " &amp; VLOOKUP("A" &amp; 对阵图!B34, A组抽签!$A:$B, 2, FALSE)</f>
        <v>A1 - 王 雅峰</v>
      </c>
      <c r="C34" s="13" t="str">
        <f>"A" &amp; 对阵图!C34 &amp; " - " &amp; VLOOKUP("A" &amp; 对阵图!C34, A组抽签!$A:$B, 2, FALSE)</f>
        <v>A25 - 崔 云平</v>
      </c>
      <c r="D34" s="13" t="str">
        <f>"A" &amp; 对阵图!D34 &amp; " - " &amp; VLOOKUP("A" &amp; 对阵图!D34, A组抽签!$A:$B, 2, FALSE)</f>
        <v>A16 - 肖 凌闻</v>
      </c>
      <c r="E34" s="13" t="str">
        <f>"A" &amp; 对阵图!E34 &amp; " - " &amp; VLOOKUP("A" &amp; 对阵图!E34, A组抽签!$A:$B, 2, FALSE)</f>
        <v>A36 - 毛 佩雷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165</v>
      </c>
      <c r="B35" s="13" t="str">
        <f>"A" &amp; 对阵图!B35 &amp; " - " &amp; VLOOKUP("A" &amp; 对阵图!B35, A组抽签!$A:$B, 2, FALSE)</f>
        <v>A7 - 黄 文哲</v>
      </c>
      <c r="C35" s="13" t="str">
        <f>"A" &amp; 对阵图!C35 &amp; " - " &amp; VLOOKUP("A" &amp; 对阵图!C35, A组抽签!$A:$B, 2, FALSE)</f>
        <v>A17 - 叶 冰</v>
      </c>
      <c r="D35" s="13" t="str">
        <f>"A" &amp; 对阵图!D35 &amp; " - " &amp; VLOOKUP("A" &amp; 对阵图!D35, A组抽签!$A:$B, 2, FALSE)</f>
        <v>A4 - 邢 世杰</v>
      </c>
      <c r="E35" s="13" t="str">
        <f>"A" &amp; 对阵图!E35 &amp; " - " &amp; VLOOKUP("A" &amp; 对阵图!E35, A组抽签!$A:$B, 2, FALSE)</f>
        <v>A27 - 赵 建勇</v>
      </c>
      <c r="F35" s="8">
        <v>1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166</v>
      </c>
      <c r="B36" s="13" t="str">
        <f>"A" &amp; 对阵图!B36 &amp; " - " &amp; VLOOKUP("A" &amp; 对阵图!B36, A组抽签!$A:$B, 2, FALSE)</f>
        <v>A5 - Hu Kevin</v>
      </c>
      <c r="C36" s="13" t="str">
        <f>"A" &amp; 对阵图!C36 &amp; " - " &amp; VLOOKUP("A" &amp; 对阵图!C36, A组抽签!$A:$B, 2, FALSE)</f>
        <v>A23 - 陈 冬娥</v>
      </c>
      <c r="D36" s="13" t="str">
        <f>"A" &amp; 对阵图!D36 &amp; " - " &amp; VLOOKUP("A" &amp; 对阵图!D36, A组抽签!$A:$B, 2, FALSE)</f>
        <v>A6 - 李 文</v>
      </c>
      <c r="E36" s="13" t="str">
        <f>"A" &amp; 对阵图!E36 &amp; " - " &amp; VLOOKUP("A" &amp; 对阵图!E36, A组抽签!$A:$B, 2, FALSE)</f>
        <v>A11 - Xu Bujiang</v>
      </c>
      <c r="F36" s="8">
        <v>2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167</v>
      </c>
      <c r="B37" s="13" t="str">
        <f>"A" &amp; 对阵图!B37 &amp; " - " &amp; VLOOKUP("A" &amp; 对阵图!B37, A组抽签!$A:$B, 2, FALSE)</f>
        <v>A2 - 王 丽</v>
      </c>
      <c r="C37" s="13" t="str">
        <f>"A" &amp; 对阵图!C37 &amp; " - " &amp; VLOOKUP("A" &amp; 对阵图!C37, A组抽签!$A:$B, 2, FALSE)</f>
        <v>A31 - Coco Cao</v>
      </c>
      <c r="D37" s="13" t="str">
        <f>"A" &amp; 对阵图!D37 &amp; " - " &amp; VLOOKUP("A" &amp; 对阵图!D37, A组抽签!$A:$B, 2, FALSE)</f>
        <v>A3 - 司 丽荣</v>
      </c>
      <c r="E37" s="13" t="str">
        <f>"A" &amp; 对阵图!E37 &amp; " - " &amp; VLOOKUP("A" &amp; 对阵图!E37, A组抽签!$A:$B, 2, FALSE)</f>
        <v>A14 - Ye Sabrina</v>
      </c>
      <c r="F37" s="8">
        <v>3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6" t="s">
        <v>168</v>
      </c>
      <c r="B1" s="16" t="s">
        <v>169</v>
      </c>
      <c r="C1" s="16" t="s">
        <v>170</v>
      </c>
      <c r="E1" s="17" t="s">
        <v>171</v>
      </c>
      <c r="F1" s="17" t="s">
        <v>168</v>
      </c>
      <c r="G1" s="17" t="s">
        <v>172</v>
      </c>
      <c r="H1" s="17" t="s">
        <v>170</v>
      </c>
    </row>
    <row r="2" spans="1:8" ht="15.75" customHeight="1" x14ac:dyDescent="0.25">
      <c r="A2" s="18" t="str">
        <f t="array" ref="A2:A1000">A组抽签!A2:A1000 &amp; " - " &amp; A组抽签!B2:B1000</f>
        <v>A1 - 王 雅峰</v>
      </c>
      <c r="B2" s="19">
        <f>SUMIF(A组循环赛4轮!B:B, A2, A组循环赛4轮!G:G) + SUMIF(A组循环赛4轮!C:C, A2, A组循环赛4轮!G:G) + SUMIF(A组循环赛4轮!D:D, A2, A组循环赛4轮!H:H) + SUMIF(A组循环赛4轮!E:E, A2, A组循环赛4轮!H:H)</f>
        <v>0</v>
      </c>
      <c r="C2" s="20">
        <f>SUMIF(A组循环赛4轮!B:B, A2, A组循环赛4轮!I:I) + SUMIF(A组循环赛4轮!C:C, A2, A组循环赛4轮!I:I) + SUMIF(A组循环赛4轮!D:D, A2, A组循环赛4轮!J:J) + SUMIF(A组循环赛4轮!E:E, A2, A组循环赛4轮!J:J)</f>
        <v>0</v>
      </c>
      <c r="E2" s="21">
        <v>1</v>
      </c>
      <c r="F2" s="21" t="str" cm="1">
        <f t="array" ref="F2:H37">_xlfn.SORTBY(A2:C37, B2:B37, -1, C2:C37, -1)</f>
        <v>A1 - 王 雅峰</v>
      </c>
      <c r="G2" s="19">
        <v>0</v>
      </c>
      <c r="H2" s="20">
        <v>0</v>
      </c>
    </row>
    <row r="3" spans="1:8" ht="15.75" customHeight="1" x14ac:dyDescent="0.25">
      <c r="A3" s="18" t="str">
        <v>A2 - 王 丽</v>
      </c>
      <c r="B3" s="19">
        <f>SUMIF(A组循环赛4轮!B:B, A3, A组循环赛4轮!G:G) + SUMIF(A组循环赛4轮!C:C, A3, A组循环赛4轮!G:G) + SUMIF(A组循环赛4轮!D:D, A3, A组循环赛4轮!H:H) + SUMIF(A组循环赛4轮!E:E, A3, A组循环赛4轮!H:H)</f>
        <v>0</v>
      </c>
      <c r="C3" s="20">
        <f>SUMIF(A组循环赛4轮!B:B, A3, A组循环赛4轮!I:I) + SUMIF(A组循环赛4轮!C:C, A3, A组循环赛4轮!I:I) + SUMIF(A组循环赛4轮!D:D, A3, A组循环赛4轮!J:J) + SUMIF(A组循环赛4轮!E:E, A3, A组循环赛4轮!J:J)</f>
        <v>0</v>
      </c>
      <c r="E3" s="21">
        <v>2</v>
      </c>
      <c r="F3" s="21" t="str">
        <v>A2 - 王 丽</v>
      </c>
      <c r="G3" s="19">
        <v>0</v>
      </c>
      <c r="H3" s="20">
        <v>0</v>
      </c>
    </row>
    <row r="4" spans="1:8" ht="15.75" customHeight="1" x14ac:dyDescent="0.25">
      <c r="A4" s="18" t="str">
        <v>A3 - 司 丽荣</v>
      </c>
      <c r="B4" s="19">
        <f>SUMIF(A组循环赛4轮!B:B, A4, A组循环赛4轮!G:G) + SUMIF(A组循环赛4轮!C:C, A4, A组循环赛4轮!G:G) + SUMIF(A组循环赛4轮!D:D, A4, A组循环赛4轮!H:H) + SUMIF(A组循环赛4轮!E:E, A4, A组循环赛4轮!H:H)</f>
        <v>0</v>
      </c>
      <c r="C4" s="20">
        <f>SUMIF(A组循环赛4轮!B:B, A4, A组循环赛4轮!I:I) + SUMIF(A组循环赛4轮!C:C, A4, A组循环赛4轮!I:I) + SUMIF(A组循环赛4轮!D:D, A4, A组循环赛4轮!J:J) + SUMIF(A组循环赛4轮!E:E, A4, A组循环赛4轮!J:J)</f>
        <v>0</v>
      </c>
      <c r="E4" s="21">
        <v>3</v>
      </c>
      <c r="F4" s="21" t="str">
        <v>A3 - 司 丽荣</v>
      </c>
      <c r="G4" s="19">
        <v>0</v>
      </c>
      <c r="H4" s="20">
        <v>0</v>
      </c>
    </row>
    <row r="5" spans="1:8" ht="15.75" customHeight="1" x14ac:dyDescent="0.25">
      <c r="A5" s="18" t="str">
        <v>A4 - 邢 世杰</v>
      </c>
      <c r="B5" s="19">
        <f>SUMIF(A组循环赛4轮!B:B, A5, A组循环赛4轮!G:G) + SUMIF(A组循环赛4轮!C:C, A5, A组循环赛4轮!G:G) + SUMIF(A组循环赛4轮!D:D, A5, A组循环赛4轮!H:H) + SUMIF(A组循环赛4轮!E:E, A5, A组循环赛4轮!H:H)</f>
        <v>0</v>
      </c>
      <c r="C5" s="20">
        <f>SUMIF(A组循环赛4轮!B:B, A5, A组循环赛4轮!I:I) + SUMIF(A组循环赛4轮!C:C, A5, A组循环赛4轮!I:I) + SUMIF(A组循环赛4轮!D:D, A5, A组循环赛4轮!J:J) + SUMIF(A组循环赛4轮!E:E, A5, A组循环赛4轮!J:J)</f>
        <v>0</v>
      </c>
      <c r="E5" s="21">
        <v>4</v>
      </c>
      <c r="F5" s="21" t="str">
        <v>A4 - 邢 世杰</v>
      </c>
      <c r="G5" s="19">
        <v>0</v>
      </c>
      <c r="H5" s="20">
        <v>0</v>
      </c>
    </row>
    <row r="6" spans="1:8" ht="15.75" customHeight="1" x14ac:dyDescent="0.25">
      <c r="A6" s="18" t="str">
        <v>A5 - Hu Kevin</v>
      </c>
      <c r="B6" s="19">
        <f>SUMIF(A组循环赛4轮!B:B, A6, A组循环赛4轮!G:G) + SUMIF(A组循环赛4轮!C:C, A6, A组循环赛4轮!G:G) + SUMIF(A组循环赛4轮!D:D, A6, A组循环赛4轮!H:H) + SUMIF(A组循环赛4轮!E:E, A6, A组循环赛4轮!H:H)</f>
        <v>0</v>
      </c>
      <c r="C6" s="20">
        <f>SUMIF(A组循环赛4轮!B:B, A6, A组循环赛4轮!I:I) + SUMIF(A组循环赛4轮!C:C, A6, A组循环赛4轮!I:I) + SUMIF(A组循环赛4轮!D:D, A6, A组循环赛4轮!J:J) + SUMIF(A组循环赛4轮!E:E, A6, A组循环赛4轮!J:J)</f>
        <v>0</v>
      </c>
      <c r="E6" s="21">
        <v>5</v>
      </c>
      <c r="F6" s="21" t="str">
        <v>A5 - Hu Kevin</v>
      </c>
      <c r="G6" s="19">
        <v>0</v>
      </c>
      <c r="H6" s="20">
        <v>0</v>
      </c>
    </row>
    <row r="7" spans="1:8" ht="15.75" customHeight="1" x14ac:dyDescent="0.25">
      <c r="A7" s="18" t="str">
        <v>A6 - 李 文</v>
      </c>
      <c r="B7" s="19">
        <f>SUMIF(A组循环赛4轮!B:B, A7, A组循环赛4轮!G:G) + SUMIF(A组循环赛4轮!C:C, A7, A组循环赛4轮!G:G) + SUMIF(A组循环赛4轮!D:D, A7, A组循环赛4轮!H:H) + SUMIF(A组循环赛4轮!E:E, A7, A组循环赛4轮!H:H)</f>
        <v>0</v>
      </c>
      <c r="C7" s="20">
        <f>SUMIF(A组循环赛4轮!B:B, A7, A组循环赛4轮!I:I) + SUMIF(A组循环赛4轮!C:C, A7, A组循环赛4轮!I:I) + SUMIF(A组循环赛4轮!D:D, A7, A组循环赛4轮!J:J) + SUMIF(A组循环赛4轮!E:E, A7, A组循环赛4轮!J:J)</f>
        <v>0</v>
      </c>
      <c r="E7" s="21">
        <v>6</v>
      </c>
      <c r="F7" s="21" t="str">
        <v>A6 - 李 文</v>
      </c>
      <c r="G7" s="19">
        <v>0</v>
      </c>
      <c r="H7" s="20">
        <v>0</v>
      </c>
    </row>
    <row r="8" spans="1:8" ht="15.75" customHeight="1" x14ac:dyDescent="0.25">
      <c r="A8" s="18" t="str">
        <v>A7 - 黄 文哲</v>
      </c>
      <c r="B8" s="19">
        <f>SUMIF(A组循环赛4轮!B:B, A8, A组循环赛4轮!G:G) + SUMIF(A组循环赛4轮!C:C, A8, A组循环赛4轮!G:G) + SUMIF(A组循环赛4轮!D:D, A8, A组循环赛4轮!H:H) + SUMIF(A组循环赛4轮!E:E, A8, A组循环赛4轮!H:H)</f>
        <v>0</v>
      </c>
      <c r="C8" s="20">
        <f>SUMIF(A组循环赛4轮!B:B, A8, A组循环赛4轮!I:I) + SUMIF(A组循环赛4轮!C:C, A8, A组循环赛4轮!I:I) + SUMIF(A组循环赛4轮!D:D, A8, A组循环赛4轮!J:J) + SUMIF(A组循环赛4轮!E:E, A8, A组循环赛4轮!J:J)</f>
        <v>0</v>
      </c>
      <c r="E8" s="21">
        <v>7</v>
      </c>
      <c r="F8" s="21" t="str">
        <v>A7 - 黄 文哲</v>
      </c>
      <c r="G8" s="19">
        <v>0</v>
      </c>
      <c r="H8" s="20">
        <v>0</v>
      </c>
    </row>
    <row r="9" spans="1:8" ht="15.75" customHeight="1" x14ac:dyDescent="0.25">
      <c r="A9" s="18" t="str">
        <v>A8 - 李 敏</v>
      </c>
      <c r="B9" s="19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0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1">
        <v>8</v>
      </c>
      <c r="F9" s="21" t="str">
        <v>A8 - 李 敏</v>
      </c>
      <c r="G9" s="19">
        <v>0</v>
      </c>
      <c r="H9" s="20">
        <v>0</v>
      </c>
    </row>
    <row r="10" spans="1:8" ht="15.75" customHeight="1" x14ac:dyDescent="0.25">
      <c r="A10" s="18" t="str">
        <v>A9 - Yi Hongtao</v>
      </c>
      <c r="B10" s="19">
        <f>SUMIF(A组循环赛4轮!B:B, A10, A组循环赛4轮!G:G) + SUMIF(A组循环赛4轮!C:C, A10, A组循环赛4轮!G:G) + SUMIF(A组循环赛4轮!D:D, A10, A组循环赛4轮!H:H) + SUMIF(A组循环赛4轮!E:E, A10, A组循环赛4轮!H:H)</f>
        <v>0</v>
      </c>
      <c r="C10" s="20">
        <f>SUMIF(A组循环赛4轮!B:B, A10, A组循环赛4轮!I:I) + SUMIF(A组循环赛4轮!C:C, A10, A组循环赛4轮!I:I) + SUMIF(A组循环赛4轮!D:D, A10, A组循环赛4轮!J:J) + SUMIF(A组循环赛4轮!E:E, A10, A组循环赛4轮!J:J)</f>
        <v>0</v>
      </c>
      <c r="E10" s="21">
        <v>9</v>
      </c>
      <c r="F10" s="21" t="str">
        <v>A9 - Yi Hongtao</v>
      </c>
      <c r="G10" s="19">
        <v>0</v>
      </c>
      <c r="H10" s="20">
        <v>0</v>
      </c>
    </row>
    <row r="11" spans="1:8" ht="15.75" customHeight="1" x14ac:dyDescent="0.25">
      <c r="A11" s="18" t="str">
        <v>A10 - Deng Shirley</v>
      </c>
      <c r="B11" s="19">
        <f>SUMIF(A组循环赛4轮!B:B, A11, A组循环赛4轮!G:G) + SUMIF(A组循环赛4轮!C:C, A11, A组循环赛4轮!G:G) + SUMIF(A组循环赛4轮!D:D, A11, A组循环赛4轮!H:H) + SUMIF(A组循环赛4轮!E:E, A11, A组循环赛4轮!H:H)</f>
        <v>0</v>
      </c>
      <c r="C11" s="20">
        <f>SUMIF(A组循环赛4轮!B:B, A11, A组循环赛4轮!I:I) + SUMIF(A组循环赛4轮!C:C, A11, A组循环赛4轮!I:I) + SUMIF(A组循环赛4轮!D:D, A11, A组循环赛4轮!J:J) + SUMIF(A组循环赛4轮!E:E, A11, A组循环赛4轮!J:J)</f>
        <v>0</v>
      </c>
      <c r="E11" s="21">
        <v>10</v>
      </c>
      <c r="F11" s="21" t="str">
        <v>A10 - Deng Shirley</v>
      </c>
      <c r="G11" s="19">
        <v>0</v>
      </c>
      <c r="H11" s="20">
        <v>0</v>
      </c>
    </row>
    <row r="12" spans="1:8" ht="15.75" customHeight="1" x14ac:dyDescent="0.25">
      <c r="A12" s="18" t="str">
        <v>A11 - Xu Bujiang</v>
      </c>
      <c r="B12" s="19">
        <f>SUMIF(A组循环赛4轮!B:B, A12, A组循环赛4轮!G:G) + SUMIF(A组循环赛4轮!C:C, A12, A组循环赛4轮!G:G) + SUMIF(A组循环赛4轮!D:D, A12, A组循环赛4轮!H:H) + SUMIF(A组循环赛4轮!E:E, A12, A组循环赛4轮!H:H)</f>
        <v>0</v>
      </c>
      <c r="C12" s="20">
        <f>SUMIF(A组循环赛4轮!B:B, A12, A组循环赛4轮!I:I) + SUMIF(A组循环赛4轮!C:C, A12, A组循环赛4轮!I:I) + SUMIF(A组循环赛4轮!D:D, A12, A组循环赛4轮!J:J) + SUMIF(A组循环赛4轮!E:E, A12, A组循环赛4轮!J:J)</f>
        <v>0</v>
      </c>
      <c r="E12" s="21">
        <v>11</v>
      </c>
      <c r="F12" s="21" t="str">
        <v>A11 - Xu Bujiang</v>
      </c>
      <c r="G12" s="19">
        <v>0</v>
      </c>
      <c r="H12" s="20">
        <v>0</v>
      </c>
    </row>
    <row r="13" spans="1:8" ht="15.75" customHeight="1" x14ac:dyDescent="0.25">
      <c r="A13" s="18" t="str">
        <v>A12 - Huo Yang</v>
      </c>
      <c r="B13" s="19">
        <f>SUMIF(A组循环赛4轮!B:B, A13, A组循环赛4轮!G:G) + SUMIF(A组循环赛4轮!C:C, A13, A组循环赛4轮!G:G) + SUMIF(A组循环赛4轮!D:D, A13, A组循环赛4轮!H:H) + SUMIF(A组循环赛4轮!E:E, A13, A组循环赛4轮!H:H)</f>
        <v>0</v>
      </c>
      <c r="C13" s="20">
        <f>SUMIF(A组循环赛4轮!B:B, A13, A组循环赛4轮!I:I) + SUMIF(A组循环赛4轮!C:C, A13, A组循环赛4轮!I:I) + SUMIF(A组循环赛4轮!D:D, A13, A组循环赛4轮!J:J) + SUMIF(A组循环赛4轮!E:E, A13, A组循环赛4轮!J:J)</f>
        <v>0</v>
      </c>
      <c r="E13" s="21">
        <v>12</v>
      </c>
      <c r="F13" s="21" t="str">
        <v>A12 - Huo Yang</v>
      </c>
      <c r="G13" s="19">
        <v>0</v>
      </c>
      <c r="H13" s="20">
        <v>0</v>
      </c>
    </row>
    <row r="14" spans="1:8" ht="15.75" customHeight="1" x14ac:dyDescent="0.25">
      <c r="A14" s="18" t="str">
        <v>A13 - 黄 Shelly</v>
      </c>
      <c r="B14" s="19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0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1">
        <v>13</v>
      </c>
      <c r="F14" s="21" t="str">
        <v>A13 - 黄 Shelly</v>
      </c>
      <c r="G14" s="19">
        <v>0</v>
      </c>
      <c r="H14" s="20">
        <v>0</v>
      </c>
    </row>
    <row r="15" spans="1:8" ht="15.75" customHeight="1" x14ac:dyDescent="0.25">
      <c r="A15" s="18" t="str">
        <v>A14 - Ye Sabrina</v>
      </c>
      <c r="B15" s="19">
        <f>SUMIF(A组循环赛4轮!B:B, A15, A组循环赛4轮!G:G) + SUMIF(A组循环赛4轮!C:C, A15, A组循环赛4轮!G:G) + SUMIF(A组循环赛4轮!D:D, A15, A组循环赛4轮!H:H) + SUMIF(A组循环赛4轮!E:E, A15, A组循环赛4轮!H:H)</f>
        <v>0</v>
      </c>
      <c r="C15" s="20">
        <f>SUMIF(A组循环赛4轮!B:B, A15, A组循环赛4轮!I:I) + SUMIF(A组循环赛4轮!C:C, A15, A组循环赛4轮!I:I) + SUMIF(A组循环赛4轮!D:D, A15, A组循环赛4轮!J:J) + SUMIF(A组循环赛4轮!E:E, A15, A组循环赛4轮!J:J)</f>
        <v>0</v>
      </c>
      <c r="E15" s="21">
        <v>14</v>
      </c>
      <c r="F15" s="21" t="str">
        <v>A14 - Ye Sabrina</v>
      </c>
      <c r="G15" s="19">
        <v>0</v>
      </c>
      <c r="H15" s="20">
        <v>0</v>
      </c>
    </row>
    <row r="16" spans="1:8" ht="15.75" customHeight="1" x14ac:dyDescent="0.25">
      <c r="A16" s="18" t="str">
        <v>A15 - 高 清</v>
      </c>
      <c r="B16" s="19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0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1">
        <v>15</v>
      </c>
      <c r="F16" s="21" t="str">
        <v>A15 - 高 清</v>
      </c>
      <c r="G16" s="19">
        <v>0</v>
      </c>
      <c r="H16" s="20">
        <v>0</v>
      </c>
    </row>
    <row r="17" spans="1:8" ht="15.75" customHeight="1" x14ac:dyDescent="0.25">
      <c r="A17" s="18" t="str">
        <v>A16 - 肖 凌闻</v>
      </c>
      <c r="B17" s="19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0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1">
        <v>16</v>
      </c>
      <c r="F17" s="21" t="str">
        <v>A16 - 肖 凌闻</v>
      </c>
      <c r="G17" s="19">
        <v>0</v>
      </c>
      <c r="H17" s="20">
        <v>0</v>
      </c>
    </row>
    <row r="18" spans="1:8" ht="15.75" customHeight="1" x14ac:dyDescent="0.25">
      <c r="A18" s="18" t="str">
        <v>A17 - 叶 冰</v>
      </c>
      <c r="B18" s="19">
        <f>SUMIF(A组循环赛4轮!B:B, A18, A组循环赛4轮!G:G) + SUMIF(A组循环赛4轮!C:C, A18, A组循环赛4轮!G:G) + SUMIF(A组循环赛4轮!D:D, A18, A组循环赛4轮!H:H) + SUMIF(A组循环赛4轮!E:E, A18, A组循环赛4轮!H:H)</f>
        <v>0</v>
      </c>
      <c r="C18" s="20">
        <f>SUMIF(A组循环赛4轮!B:B, A18, A组循环赛4轮!I:I) + SUMIF(A组循环赛4轮!C:C, A18, A组循环赛4轮!I:I) + SUMIF(A组循环赛4轮!D:D, A18, A组循环赛4轮!J:J) + SUMIF(A组循环赛4轮!E:E, A18, A组循环赛4轮!J:J)</f>
        <v>0</v>
      </c>
      <c r="E18" s="21">
        <v>17</v>
      </c>
      <c r="F18" s="21" t="str">
        <v>A17 - 叶 冰</v>
      </c>
      <c r="G18" s="19">
        <v>0</v>
      </c>
      <c r="H18" s="20">
        <v>0</v>
      </c>
    </row>
    <row r="19" spans="1:8" ht="15.75" customHeight="1" x14ac:dyDescent="0.25">
      <c r="A19" s="18" t="str">
        <v>A18 - Li Larry</v>
      </c>
      <c r="B19" s="19">
        <f>SUMIF(A组循环赛4轮!B:B, A19, A组循环赛4轮!G:G) + SUMIF(A组循环赛4轮!C:C, A19, A组循环赛4轮!G:G) + SUMIF(A组循环赛4轮!D:D, A19, A组循环赛4轮!H:H) + SUMIF(A组循环赛4轮!E:E, A19, A组循环赛4轮!H:H)</f>
        <v>0</v>
      </c>
      <c r="C19" s="20">
        <f>SUMIF(A组循环赛4轮!B:B, A19, A组循环赛4轮!I:I) + SUMIF(A组循环赛4轮!C:C, A19, A组循环赛4轮!I:I) + SUMIF(A组循环赛4轮!D:D, A19, A组循环赛4轮!J:J) + SUMIF(A组循环赛4轮!E:E, A19, A组循环赛4轮!J:J)</f>
        <v>0</v>
      </c>
      <c r="E19" s="21">
        <v>18</v>
      </c>
      <c r="F19" s="21" t="str">
        <v>A18 - Li Larry</v>
      </c>
      <c r="G19" s="19">
        <v>0</v>
      </c>
      <c r="H19" s="20">
        <v>0</v>
      </c>
    </row>
    <row r="20" spans="1:8" ht="15.75" customHeight="1" x14ac:dyDescent="0.25">
      <c r="A20" s="18" t="str">
        <v>A19 - 赵发枚</v>
      </c>
      <c r="B20" s="19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20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21">
        <v>19</v>
      </c>
      <c r="F20" s="21" t="str">
        <v>A19 - 赵发枚</v>
      </c>
      <c r="G20" s="19">
        <v>0</v>
      </c>
      <c r="H20" s="20">
        <v>0</v>
      </c>
    </row>
    <row r="21" spans="1:8" ht="15.75" customHeight="1" x14ac:dyDescent="0.25">
      <c r="A21" s="18" t="str">
        <v>A20 - 王轶男</v>
      </c>
      <c r="B21" s="19">
        <f>SUMIF(A组循环赛4轮!B:B, A21, A组循环赛4轮!G:G) + SUMIF(A组循环赛4轮!C:C, A21, A组循环赛4轮!G:G) + SUMIF(A组循环赛4轮!D:D, A21, A组循环赛4轮!H:H) + SUMIF(A组循环赛4轮!E:E, A21, A组循环赛4轮!H:H)</f>
        <v>0</v>
      </c>
      <c r="C21" s="20">
        <f>SUMIF(A组循环赛4轮!B:B, A21, A组循环赛4轮!I:I) + SUMIF(A组循环赛4轮!C:C, A21, A组循环赛4轮!I:I) + SUMIF(A组循环赛4轮!D:D, A21, A组循环赛4轮!J:J) + SUMIF(A组循环赛4轮!E:E, A21, A组循环赛4轮!J:J)</f>
        <v>0</v>
      </c>
      <c r="E21" s="21">
        <v>20</v>
      </c>
      <c r="F21" s="21" t="str">
        <v>A20 - 王轶男</v>
      </c>
      <c r="G21" s="19">
        <v>0</v>
      </c>
      <c r="H21" s="20">
        <v>0</v>
      </c>
    </row>
    <row r="22" spans="1:8" ht="15.75" customHeight="1" x14ac:dyDescent="0.25">
      <c r="A22" s="18" t="str">
        <v>A21 - 哈 悦</v>
      </c>
      <c r="B22" s="19">
        <f>SUMIF(A组循环赛4轮!B:B, A22, A组循环赛4轮!G:G) + SUMIF(A组循环赛4轮!C:C, A22, A组循环赛4轮!G:G) + SUMIF(A组循环赛4轮!D:D, A22, A组循环赛4轮!H:H) + SUMIF(A组循环赛4轮!E:E, A22, A组循环赛4轮!H:H)</f>
        <v>0</v>
      </c>
      <c r="C22" s="20">
        <f>SUMIF(A组循环赛4轮!B:B, A22, A组循环赛4轮!I:I) + SUMIF(A组循环赛4轮!C:C, A22, A组循环赛4轮!I:I) + SUMIF(A组循环赛4轮!D:D, A22, A组循环赛4轮!J:J) + SUMIF(A组循环赛4轮!E:E, A22, A组循环赛4轮!J:J)</f>
        <v>0</v>
      </c>
      <c r="E22" s="21">
        <v>21</v>
      </c>
      <c r="F22" s="21" t="str">
        <v>A21 - 哈 悦</v>
      </c>
      <c r="G22" s="19">
        <v>0</v>
      </c>
      <c r="H22" s="20">
        <v>0</v>
      </c>
    </row>
    <row r="23" spans="1:8" ht="15.75" customHeight="1" x14ac:dyDescent="0.25">
      <c r="A23" s="18" t="str">
        <v>A22 - 刘 勇</v>
      </c>
      <c r="B23" s="19">
        <f>SUMIF(A组循环赛4轮!B:B, A23, A组循环赛4轮!G:G) + SUMIF(A组循环赛4轮!C:C, A23, A组循环赛4轮!G:G) + SUMIF(A组循环赛4轮!D:D, A23, A组循环赛4轮!H:H) + SUMIF(A组循环赛4轮!E:E, A23, A组循环赛4轮!H:H)</f>
        <v>0</v>
      </c>
      <c r="C23" s="20">
        <f>SUMIF(A组循环赛4轮!B:B, A23, A组循环赛4轮!I:I) + SUMIF(A组循环赛4轮!C:C, A23, A组循环赛4轮!I:I) + SUMIF(A组循环赛4轮!D:D, A23, A组循环赛4轮!J:J) + SUMIF(A组循环赛4轮!E:E, A23, A组循环赛4轮!J:J)</f>
        <v>0</v>
      </c>
      <c r="E23" s="21">
        <v>22</v>
      </c>
      <c r="F23" s="21" t="str">
        <v>A22 - 刘 勇</v>
      </c>
      <c r="G23" s="19">
        <v>0</v>
      </c>
      <c r="H23" s="20">
        <v>0</v>
      </c>
    </row>
    <row r="24" spans="1:8" ht="15.75" customHeight="1" x14ac:dyDescent="0.25">
      <c r="A24" s="18" t="str">
        <v>A23 - 陈 冬娥</v>
      </c>
      <c r="B24" s="19">
        <f>SUMIF(A组循环赛4轮!B:B, A24, A组循环赛4轮!G:G) + SUMIF(A组循环赛4轮!C:C, A24, A组循环赛4轮!G:G) + SUMIF(A组循环赛4轮!D:D, A24, A组循环赛4轮!H:H) + SUMIF(A组循环赛4轮!E:E, A24, A组循环赛4轮!H:H)</f>
        <v>0</v>
      </c>
      <c r="C24" s="20">
        <f>SUMIF(A组循环赛4轮!B:B, A24, A组循环赛4轮!I:I) + SUMIF(A组循环赛4轮!C:C, A24, A组循环赛4轮!I:I) + SUMIF(A组循环赛4轮!D:D, A24, A组循环赛4轮!J:J) + SUMIF(A组循环赛4轮!E:E, A24, A组循环赛4轮!J:J)</f>
        <v>0</v>
      </c>
      <c r="E24" s="21">
        <v>23</v>
      </c>
      <c r="F24" s="21" t="str">
        <v>A23 - 陈 冬娥</v>
      </c>
      <c r="G24" s="19">
        <v>0</v>
      </c>
      <c r="H24" s="20">
        <v>0</v>
      </c>
    </row>
    <row r="25" spans="1:8" ht="15.75" customHeight="1" x14ac:dyDescent="0.25">
      <c r="A25" s="18" t="str">
        <v>A24 - 贾云英</v>
      </c>
      <c r="B25" s="19">
        <f>SUMIF(A组循环赛4轮!B:B, A25, A组循环赛4轮!G:G) + SUMIF(A组循环赛4轮!C:C, A25, A组循环赛4轮!G:G) + SUMIF(A组循环赛4轮!D:D, A25, A组循环赛4轮!H:H) + SUMIF(A组循环赛4轮!E:E, A25, A组循环赛4轮!H:H)</f>
        <v>0</v>
      </c>
      <c r="C25" s="20">
        <f>SUMIF(A组循环赛4轮!B:B, A25, A组循环赛4轮!I:I) + SUMIF(A组循环赛4轮!C:C, A25, A组循环赛4轮!I:I) + SUMIF(A组循环赛4轮!D:D, A25, A组循环赛4轮!J:J) + SUMIF(A组循环赛4轮!E:E, A25, A组循环赛4轮!J:J)</f>
        <v>0</v>
      </c>
      <c r="E25" s="21">
        <v>24</v>
      </c>
      <c r="F25" s="21" t="str">
        <v>A24 - 贾云英</v>
      </c>
      <c r="G25" s="19">
        <v>0</v>
      </c>
      <c r="H25" s="20">
        <v>0</v>
      </c>
    </row>
    <row r="26" spans="1:8" ht="15.75" customHeight="1" x14ac:dyDescent="0.25">
      <c r="A26" s="18" t="str">
        <v>A25 - 崔 云平</v>
      </c>
      <c r="B26" s="19">
        <f>SUMIF(A组循环赛4轮!B:B, A26, A组循环赛4轮!G:G) + SUMIF(A组循环赛4轮!C:C, A26, A组循环赛4轮!G:G) + SUMIF(A组循环赛4轮!D:D, A26, A组循环赛4轮!H:H) + SUMIF(A组循环赛4轮!E:E, A26, A组循环赛4轮!H:H)</f>
        <v>0</v>
      </c>
      <c r="C26" s="20">
        <f>SUMIF(A组循环赛4轮!B:B, A26, A组循环赛4轮!I:I) + SUMIF(A组循环赛4轮!C:C, A26, A组循环赛4轮!I:I) + SUMIF(A组循环赛4轮!D:D, A26, A组循环赛4轮!J:J) + SUMIF(A组循环赛4轮!E:E, A26, A组循环赛4轮!J:J)</f>
        <v>0</v>
      </c>
      <c r="E26" s="21">
        <v>25</v>
      </c>
      <c r="F26" s="21" t="str">
        <v>A25 - 崔 云平</v>
      </c>
      <c r="G26" s="19">
        <v>0</v>
      </c>
      <c r="H26" s="20">
        <v>0</v>
      </c>
    </row>
    <row r="27" spans="1:8" ht="15.75" customHeight="1" x14ac:dyDescent="0.25">
      <c r="A27" s="18" t="str">
        <v>A26 - 叶 政</v>
      </c>
      <c r="B27" s="19">
        <f>SUMIF(A组循环赛4轮!B:B, A27, A组循环赛4轮!G:G) + SUMIF(A组循环赛4轮!C:C, A27, A组循环赛4轮!G:G) + SUMIF(A组循环赛4轮!D:D, A27, A组循环赛4轮!H:H) + SUMIF(A组循环赛4轮!E:E, A27, A组循环赛4轮!H:H)</f>
        <v>0</v>
      </c>
      <c r="C27" s="20">
        <f>SUMIF(A组循环赛4轮!B:B, A27, A组循环赛4轮!I:I) + SUMIF(A组循环赛4轮!C:C, A27, A组循环赛4轮!I:I) + SUMIF(A组循环赛4轮!D:D, A27, A组循环赛4轮!J:J) + SUMIF(A组循环赛4轮!E:E, A27, A组循环赛4轮!J:J)</f>
        <v>0</v>
      </c>
      <c r="E27" s="21">
        <v>26</v>
      </c>
      <c r="F27" s="21" t="str">
        <v>A26 - 叶 政</v>
      </c>
      <c r="G27" s="19">
        <v>0</v>
      </c>
      <c r="H27" s="20">
        <v>0</v>
      </c>
    </row>
    <row r="28" spans="1:8" ht="15.75" customHeight="1" x14ac:dyDescent="0.25">
      <c r="A28" s="18" t="str">
        <v>A27 - 赵 建勇</v>
      </c>
      <c r="B28" s="19">
        <f>SUMIF(A组循环赛4轮!B:B, A28, A组循环赛4轮!G:G) + SUMIF(A组循环赛4轮!C:C, A28, A组循环赛4轮!G:G) + SUMIF(A组循环赛4轮!D:D, A28, A组循环赛4轮!H:H) + SUMIF(A组循环赛4轮!E:E, A28, A组循环赛4轮!H:H)</f>
        <v>0</v>
      </c>
      <c r="C28" s="20">
        <f>SUMIF(A组循环赛4轮!B:B, A28, A组循环赛4轮!I:I) + SUMIF(A组循环赛4轮!C:C, A28, A组循环赛4轮!I:I) + SUMIF(A组循环赛4轮!D:D, A28, A组循环赛4轮!J:J) + SUMIF(A组循环赛4轮!E:E, A28, A组循环赛4轮!J:J)</f>
        <v>0</v>
      </c>
      <c r="E28" s="21">
        <v>27</v>
      </c>
      <c r="F28" s="21" t="str">
        <v>A27 - 赵 建勇</v>
      </c>
      <c r="G28" s="19">
        <v>0</v>
      </c>
      <c r="H28" s="20">
        <v>0</v>
      </c>
    </row>
    <row r="29" spans="1:8" ht="15.75" customHeight="1" x14ac:dyDescent="0.25">
      <c r="A29" s="18" t="str">
        <v>A28 - 杨芳</v>
      </c>
      <c r="B29" s="19">
        <f>SUMIF(A组循环赛4轮!B:B, A29, A组循环赛4轮!G:G) + SUMIF(A组循环赛4轮!C:C, A29, A组循环赛4轮!G:G) + SUMIF(A组循环赛4轮!D:D, A29, A组循环赛4轮!H:H) + SUMIF(A组循环赛4轮!E:E, A29, A组循环赛4轮!H:H)</f>
        <v>0</v>
      </c>
      <c r="C29" s="20">
        <f>SUMIF(A组循环赛4轮!B:B, A29, A组循环赛4轮!I:I) + SUMIF(A组循环赛4轮!C:C, A29, A组循环赛4轮!I:I) + SUMIF(A组循环赛4轮!D:D, A29, A组循环赛4轮!J:J) + SUMIF(A组循环赛4轮!E:E, A29, A组循环赛4轮!J:J)</f>
        <v>0</v>
      </c>
      <c r="E29" s="21">
        <v>28</v>
      </c>
      <c r="F29" s="21" t="str">
        <v>A28 - 杨芳</v>
      </c>
      <c r="G29" s="19">
        <v>0</v>
      </c>
      <c r="H29" s="20">
        <v>0</v>
      </c>
    </row>
    <row r="30" spans="1:8" ht="15.75" customHeight="1" x14ac:dyDescent="0.25">
      <c r="A30" s="18" t="str">
        <v>A29 - 由 军</v>
      </c>
      <c r="B30" s="19">
        <f>SUMIF(A组循环赛4轮!B:B, A30, A组循环赛4轮!G:G) + SUMIF(A组循环赛4轮!C:C, A30, A组循环赛4轮!G:G) + SUMIF(A组循环赛4轮!D:D, A30, A组循环赛4轮!H:H) + SUMIF(A组循环赛4轮!E:E, A30, A组循环赛4轮!H:H)</f>
        <v>0</v>
      </c>
      <c r="C30" s="20">
        <f>SUMIF(A组循环赛4轮!B:B, A30, A组循环赛4轮!I:I) + SUMIF(A组循环赛4轮!C:C, A30, A组循环赛4轮!I:I) + SUMIF(A组循环赛4轮!D:D, A30, A组循环赛4轮!J:J) + SUMIF(A组循环赛4轮!E:E, A30, A组循环赛4轮!J:J)</f>
        <v>0</v>
      </c>
      <c r="E30" s="21">
        <v>29</v>
      </c>
      <c r="F30" s="21" t="str">
        <v>A29 - 由 军</v>
      </c>
      <c r="G30" s="19">
        <v>0</v>
      </c>
      <c r="H30" s="20">
        <v>0</v>
      </c>
    </row>
    <row r="31" spans="1:8" ht="15.75" customHeight="1" x14ac:dyDescent="0.25">
      <c r="A31" s="18" t="str">
        <v>A30 - 王 冬艳</v>
      </c>
      <c r="B31" s="19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0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1">
        <v>30</v>
      </c>
      <c r="F31" s="21" t="str">
        <v>A30 - 王 冬艳</v>
      </c>
      <c r="G31" s="19">
        <v>0</v>
      </c>
      <c r="H31" s="20">
        <v>0</v>
      </c>
    </row>
    <row r="32" spans="1:8" ht="15.75" customHeight="1" x14ac:dyDescent="0.25">
      <c r="A32" s="18" t="str">
        <v>A31 - Coco Cao</v>
      </c>
      <c r="B32" s="19">
        <f>SUMIF(A组循环赛4轮!B:B, A32, A组循环赛4轮!G:G) + SUMIF(A组循环赛4轮!C:C, A32, A组循环赛4轮!G:G) + SUMIF(A组循环赛4轮!D:D, A32, A组循环赛4轮!H:H) + SUMIF(A组循环赛4轮!E:E, A32, A组循环赛4轮!H:H)</f>
        <v>0</v>
      </c>
      <c r="C32" s="20">
        <f>SUMIF(A组循环赛4轮!B:B, A32, A组循环赛4轮!I:I) + SUMIF(A组循环赛4轮!C:C, A32, A组循环赛4轮!I:I) + SUMIF(A组循环赛4轮!D:D, A32, A组循环赛4轮!J:J) + SUMIF(A组循环赛4轮!E:E, A32, A组循环赛4轮!J:J)</f>
        <v>0</v>
      </c>
      <c r="E32" s="21">
        <v>31</v>
      </c>
      <c r="F32" s="21" t="str">
        <v>A31 - Coco Cao</v>
      </c>
      <c r="G32" s="19">
        <v>0</v>
      </c>
      <c r="H32" s="20">
        <v>0</v>
      </c>
    </row>
    <row r="33" spans="1:8" ht="15.75" customHeight="1" x14ac:dyDescent="0.25">
      <c r="A33" s="18" t="str">
        <v>A32 - 黄 伟</v>
      </c>
      <c r="B33" s="19">
        <f>SUMIF(A组循环赛4轮!B:B, A33, A组循环赛4轮!G:G) + SUMIF(A组循环赛4轮!C:C, A33, A组循环赛4轮!G:G) + SUMIF(A组循环赛4轮!D:D, A33, A组循环赛4轮!H:H) + SUMIF(A组循环赛4轮!E:E, A33, A组循环赛4轮!H:H)</f>
        <v>0</v>
      </c>
      <c r="C33" s="20">
        <f>SUMIF(A组循环赛4轮!B:B, A33, A组循环赛4轮!I:I) + SUMIF(A组循环赛4轮!C:C, A33, A组循环赛4轮!I:I) + SUMIF(A组循环赛4轮!D:D, A33, A组循环赛4轮!J:J) + SUMIF(A组循环赛4轮!E:E, A33, A组循环赛4轮!J:J)</f>
        <v>0</v>
      </c>
      <c r="E33" s="21">
        <v>32</v>
      </c>
      <c r="F33" s="21" t="str">
        <v>A32 - 黄 伟</v>
      </c>
      <c r="G33" s="19">
        <v>0</v>
      </c>
      <c r="H33" s="20">
        <v>0</v>
      </c>
    </row>
    <row r="34" spans="1:8" ht="15.75" customHeight="1" x14ac:dyDescent="0.25">
      <c r="A34" s="18" t="str">
        <v>A33 - 吴 大本</v>
      </c>
      <c r="B34" s="19">
        <f>SUMIF(A组循环赛4轮!B:B, A34, A组循环赛4轮!G:G) + SUMIF(A组循环赛4轮!C:C, A34, A组循环赛4轮!G:G) + SUMIF(A组循环赛4轮!D:D, A34, A组循环赛4轮!H:H) + SUMIF(A组循环赛4轮!E:E, A34, A组循环赛4轮!H:H)</f>
        <v>0</v>
      </c>
      <c r="C34" s="20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21">
        <v>33</v>
      </c>
      <c r="F34" s="21" t="str">
        <v>A33 - 吴 大本</v>
      </c>
      <c r="G34" s="19">
        <v>0</v>
      </c>
      <c r="H34" s="20">
        <v>0</v>
      </c>
    </row>
    <row r="35" spans="1:8" ht="15.75" customHeight="1" x14ac:dyDescent="0.25">
      <c r="A35" s="18" t="str">
        <v>A34 - Chen Jie</v>
      </c>
      <c r="B35" s="19">
        <f>SUMIF(A组循环赛4轮!B:B, A35, A组循环赛4轮!G:G) + SUMIF(A组循环赛4轮!C:C, A35, A组循环赛4轮!G:G) + SUMIF(A组循环赛4轮!D:D, A35, A组循环赛4轮!H:H) + SUMIF(A组循环赛4轮!E:E, A35, A组循环赛4轮!H:H)</f>
        <v>0</v>
      </c>
      <c r="C35" s="20">
        <f>SUMIF(A组循环赛4轮!B:B, A35, A组循环赛4轮!I:I) + SUMIF(A组循环赛4轮!C:C, A35, A组循环赛4轮!I:I) + SUMIF(A组循环赛4轮!D:D, A35, A组循环赛4轮!J:J) + SUMIF(A组循环赛4轮!E:E, A35, A组循环赛4轮!J:J)</f>
        <v>0</v>
      </c>
      <c r="E35" s="21">
        <v>34</v>
      </c>
      <c r="F35" s="21" t="str">
        <v>A34 - Chen Jie</v>
      </c>
      <c r="G35" s="19">
        <v>0</v>
      </c>
      <c r="H35" s="20">
        <v>0</v>
      </c>
    </row>
    <row r="36" spans="1:8" ht="15.75" customHeight="1" x14ac:dyDescent="0.25">
      <c r="A36" s="18" t="str">
        <v>A35 - Peter Ye</v>
      </c>
      <c r="B36" s="19">
        <f>SUMIF(A组循环赛4轮!B:B, A36, A组循环赛4轮!G:G) + SUMIF(A组循环赛4轮!C:C, A36, A组循环赛4轮!G:G) + SUMIF(A组循环赛4轮!D:D, A36, A组循环赛4轮!H:H) + SUMIF(A组循环赛4轮!E:E, A36, A组循环赛4轮!H:H)</f>
        <v>0</v>
      </c>
      <c r="C36" s="20">
        <f>SUMIF(A组循环赛4轮!B:B, A36, A组循环赛4轮!I:I) + SUMIF(A组循环赛4轮!C:C, A36, A组循环赛4轮!I:I) + SUMIF(A组循环赛4轮!D:D, A36, A组循环赛4轮!J:J) + SUMIF(A组循环赛4轮!E:E, A36, A组循环赛4轮!J:J)</f>
        <v>0</v>
      </c>
      <c r="E36" s="21">
        <v>35</v>
      </c>
      <c r="F36" s="21" t="str">
        <v>A35 - Peter Ye</v>
      </c>
      <c r="G36" s="19">
        <v>0</v>
      </c>
      <c r="H36" s="20">
        <v>0</v>
      </c>
    </row>
    <row r="37" spans="1:8" ht="15.75" customHeight="1" x14ac:dyDescent="0.25">
      <c r="A37" s="18" t="str">
        <v>A36 - 毛 佩雷</v>
      </c>
      <c r="B37" s="19">
        <f>SUMIF(A组循环赛4轮!B:B, A37, A组循环赛4轮!G:G) + SUMIF(A组循环赛4轮!C:C, A37, A组循环赛4轮!G:G) + SUMIF(A组循环赛4轮!D:D, A37, A组循环赛4轮!H:H) + SUMIF(A组循环赛4轮!E:E, A37, A组循环赛4轮!H:H)</f>
        <v>0</v>
      </c>
      <c r="C37" s="20">
        <f>SUMIF(A组循环赛4轮!B:B, A37, A组循环赛4轮!I:I) + SUMIF(A组循环赛4轮!C:C, A37, A组循环赛4轮!I:I) + SUMIF(A组循环赛4轮!D:D, A37, A组循环赛4轮!J:J) + SUMIF(A组循环赛4轮!E:E, A37, A组循环赛4轮!J:J)</f>
        <v>0</v>
      </c>
      <c r="E37" s="21">
        <v>36</v>
      </c>
      <c r="F37" s="21" t="str">
        <v>A36 - 毛 佩雷</v>
      </c>
      <c r="G37" s="19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B2" sqref="B2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  <col min="7" max="7" width="16.42578125" customWidth="1"/>
  </cols>
  <sheetData>
    <row r="1" spans="1:8" x14ac:dyDescent="0.2">
      <c r="A1" s="22" t="s">
        <v>173</v>
      </c>
      <c r="B1" s="22" t="s">
        <v>174</v>
      </c>
      <c r="C1" s="22" t="s">
        <v>175</v>
      </c>
      <c r="D1" s="23" t="s">
        <v>176</v>
      </c>
      <c r="E1" s="23" t="s">
        <v>177</v>
      </c>
      <c r="F1" s="24" t="s">
        <v>178</v>
      </c>
      <c r="G1" s="24" t="s">
        <v>179</v>
      </c>
      <c r="H1" s="1" t="s">
        <v>127</v>
      </c>
    </row>
    <row r="2" spans="1:8" x14ac:dyDescent="0.2">
      <c r="A2" s="8" t="s">
        <v>180</v>
      </c>
      <c r="B2" s="8" t="str">
        <f t="array" ref="B2">INDEX(A组循环赛总分!F2:F37, MATCH(5, A组循环赛总分!E2:E37, 0))</f>
        <v>A5 - Hu Kevin</v>
      </c>
      <c r="C2" s="8" t="str">
        <f t="array" ref="C2">INDEX(A组循环赛总分!F2:F37, MATCH(6, A组循环赛总分!E2:E37, 0))</f>
        <v>A6 - 李 文</v>
      </c>
      <c r="D2" s="8" t="str">
        <f t="array" ref="D2">INDEX(A组循环赛总分!F2:F37, MATCH(27, A组循环赛总分!E2:E37, 0))</f>
        <v>A27 - 赵 建勇</v>
      </c>
      <c r="E2" s="8" t="str">
        <f t="array" ref="E2">INDEX(A组循环赛总分!F2:F37, MATCH(28, A组循环赛总分!E2:E37, 0))</f>
        <v>A28 - 杨芳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181</v>
      </c>
      <c r="C4" s="22" t="s">
        <v>182</v>
      </c>
      <c r="D4" s="23" t="s">
        <v>183</v>
      </c>
      <c r="E4" s="23" t="s">
        <v>184</v>
      </c>
      <c r="F4" s="24" t="s">
        <v>185</v>
      </c>
      <c r="G4" s="24" t="s">
        <v>186</v>
      </c>
    </row>
    <row r="5" spans="1:8" x14ac:dyDescent="0.2">
      <c r="A5" s="8" t="s">
        <v>187</v>
      </c>
      <c r="B5" s="8" t="str">
        <f t="array" ref="B5">INDEX(A组循环赛总分!F2:F37, MATCH(7, A组循环赛总分!E2:E37, 0))</f>
        <v>A7 - 黄 文哲</v>
      </c>
      <c r="C5" s="8" t="str">
        <f t="array" ref="C5">INDEX(A组循环赛总分!F2:F37, MATCH(8, A组循环赛总分!E2:E37, 0))</f>
        <v>A8 - 李 敏</v>
      </c>
      <c r="D5" s="8" t="str">
        <f t="array" ref="D5">INDEX(A组循环赛总分!F2:F37, MATCH(25, A组循环赛总分!E2:E37, 0))</f>
        <v>A25 - 崔 云平</v>
      </c>
      <c r="E5" s="8" t="str">
        <f t="array" ref="E5">INDEX(A组循环赛总分!F2:F37, MATCH(26, A组循环赛总分!E2:E37, 0))</f>
        <v>A26 - 叶 政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188</v>
      </c>
      <c r="C7" s="22" t="s">
        <v>189</v>
      </c>
      <c r="D7" s="23" t="s">
        <v>190</v>
      </c>
      <c r="E7" s="23" t="s">
        <v>191</v>
      </c>
      <c r="F7" s="24" t="s">
        <v>192</v>
      </c>
      <c r="G7" s="24" t="s">
        <v>193</v>
      </c>
    </row>
    <row r="8" spans="1:8" x14ac:dyDescent="0.2">
      <c r="A8" s="8" t="s">
        <v>194</v>
      </c>
      <c r="B8" s="8" t="str">
        <f t="array" ref="B8">INDEX(A组循环赛总分!F2:F37, MATCH(9, A组循环赛总分!E2:E37, 0))</f>
        <v>A9 - Yi Hongtao</v>
      </c>
      <c r="C8" s="8" t="str">
        <f t="array" ref="C8">INDEX(A组循环赛总分!F2:F37, MATCH(10, A组循环赛总分!E2:E37, 0))</f>
        <v>A10 - Deng Shirley</v>
      </c>
      <c r="D8" s="8" t="str">
        <f t="array" ref="D8">INDEX(A组循环赛总分!F2:F37, MATCH(23, A组循环赛总分!E2:E37, 0))</f>
        <v>A23 - 陈 冬娥</v>
      </c>
      <c r="E8" s="8" t="str">
        <f t="array" ref="E8">INDEX(A组循环赛总分!F2:F37, MATCH(24, A组循环赛总分!E2:E37, 0))</f>
        <v>A24 - 贾云英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195</v>
      </c>
      <c r="C10" s="22" t="s">
        <v>196</v>
      </c>
      <c r="D10" s="23" t="s">
        <v>197</v>
      </c>
      <c r="E10" s="23" t="s">
        <v>198</v>
      </c>
      <c r="F10" s="24" t="s">
        <v>199</v>
      </c>
      <c r="G10" s="24" t="s">
        <v>200</v>
      </c>
    </row>
    <row r="11" spans="1:8" x14ac:dyDescent="0.2">
      <c r="A11" s="8" t="s">
        <v>201</v>
      </c>
      <c r="B11" s="8" t="str">
        <f t="array" ref="B11">INDEX(A组循环赛总分!F2:F37, MATCH(11, A组循环赛总分!E2:E37, 0))</f>
        <v>A11 - Xu Bujiang</v>
      </c>
      <c r="C11" s="8" t="str">
        <f t="array" ref="C11">INDEX(A组循环赛总分!F2:F37, MATCH(12, A组循环赛总分!E2:E37, 0))</f>
        <v>A12 - Huo Yang</v>
      </c>
      <c r="D11" s="8" t="str">
        <f t="array" ref="D11">INDEX(A组循环赛总分!F2:F37, MATCH(21, A组循环赛总分!E2:E37, 0))</f>
        <v>A21 - 哈 悦</v>
      </c>
      <c r="E11" s="8" t="str">
        <f t="array" ref="E11">INDEX(A组循环赛总分!F2:F37, MATCH(22, A组循环赛总分!E2:E37, 0))</f>
        <v>A22 - 刘 勇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202</v>
      </c>
      <c r="C13" s="22" t="s">
        <v>203</v>
      </c>
      <c r="D13" s="23" t="s">
        <v>204</v>
      </c>
      <c r="E13" s="23" t="s">
        <v>205</v>
      </c>
      <c r="F13" s="24" t="s">
        <v>206</v>
      </c>
      <c r="G13" s="24" t="s">
        <v>207</v>
      </c>
    </row>
    <row r="14" spans="1:8" x14ac:dyDescent="0.2">
      <c r="A14" s="8" t="s">
        <v>208</v>
      </c>
      <c r="B14" s="8" t="str">
        <f t="array" ref="B14">INDEX(A组循环赛总分!F2:F37, MATCH(13, A组循环赛总分!E2:E37, 0))</f>
        <v>A13 - 黄 Shelly</v>
      </c>
      <c r="C14" s="8" t="str">
        <f t="array" ref="C14">INDEX(A组循环赛总分!F2:F37, MATCH(14, A组循环赛总分!E2:E37, 0))</f>
        <v>A14 - Ye Sabrina</v>
      </c>
      <c r="D14" s="8" t="str">
        <f t="array" ref="D14">INDEX(A组循环赛总分!F2:F37, MATCH(19, A组循环赛总分!E2:E37, 0))</f>
        <v>A19 - 赵发枚</v>
      </c>
      <c r="E14" s="8" t="str">
        <f t="array" ref="E14">INDEX(A组循环赛总分!F2:F37, MATCH(20, A组循环赛总分!E2:E37, 0))</f>
        <v>A20 - 王轶男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209</v>
      </c>
      <c r="C16" s="22" t="s">
        <v>210</v>
      </c>
      <c r="D16" s="23" t="s">
        <v>211</v>
      </c>
      <c r="E16" s="23" t="s">
        <v>212</v>
      </c>
      <c r="F16" s="24" t="s">
        <v>213</v>
      </c>
      <c r="G16" s="24" t="s">
        <v>214</v>
      </c>
    </row>
    <row r="17" spans="1:8" x14ac:dyDescent="0.2">
      <c r="A17" s="8" t="s">
        <v>215</v>
      </c>
      <c r="B17" s="8" t="str">
        <f t="array" ref="B17">INDEX(A组循环赛总分!F2:F37, MATCH(15, A组循环赛总分!E2:E37, 0))</f>
        <v>A15 - 高 清</v>
      </c>
      <c r="C17" s="8" t="str">
        <f t="array" ref="C17">INDEX(A组循环赛总分!F2:F37, MATCH(16, A组循环赛总分!E2:E37, 0))</f>
        <v>A16 - 肖 凌闻</v>
      </c>
      <c r="D17" s="8" t="str">
        <f t="array" ref="D17">INDEX(A组循环赛总分!F2:F37, MATCH(17, A组循环赛总分!E2:E37, 0))</f>
        <v>A17 - 叶 冰</v>
      </c>
      <c r="E17" s="8" t="str">
        <f t="array" ref="E17">INDEX(A组循环赛总分!F2:F37, MATCH(18, A组循环赛总分!E2:E37, 0))</f>
        <v>A18 - Li Larry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216</v>
      </c>
      <c r="B20" s="25" t="s">
        <v>217</v>
      </c>
      <c r="C20" s="25" t="s">
        <v>218</v>
      </c>
      <c r="D20" s="19" t="s">
        <v>219</v>
      </c>
      <c r="E20" s="19" t="s">
        <v>220</v>
      </c>
      <c r="F20" s="24" t="s">
        <v>128</v>
      </c>
      <c r="G20" s="24" t="s">
        <v>221</v>
      </c>
    </row>
    <row r="21" spans="1:8" x14ac:dyDescent="0.2">
      <c r="A21" s="8" t="s">
        <v>222</v>
      </c>
      <c r="B21" s="8" t="str">
        <f t="array" ref="B21">INDEX(A组循环赛总分!F2:F37, MATCH(1, A组循环赛总分!E2:E37, 0))</f>
        <v>A1 - 王 雅峰</v>
      </c>
      <c r="C21" s="8" t="str">
        <f t="array" ref="C21">INDEX(A组循环赛总分!F2:F37, MATCH(2, A组循环赛总分!E2:E37, 0))</f>
        <v>A2 - 王 丽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1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223</v>
      </c>
      <c r="C23" s="25" t="s">
        <v>224</v>
      </c>
      <c r="D23" s="19" t="s">
        <v>225</v>
      </c>
      <c r="E23" s="19" t="s">
        <v>226</v>
      </c>
      <c r="F23" s="24" t="s">
        <v>129</v>
      </c>
      <c r="G23" s="24" t="s">
        <v>227</v>
      </c>
    </row>
    <row r="24" spans="1:8" x14ac:dyDescent="0.2">
      <c r="A24" s="8" t="s">
        <v>228</v>
      </c>
      <c r="B24" s="8" t="str">
        <f t="array" ref="B24">INDEX(A组循环赛总分!F2:F37, MATCH(3, A组循环赛总分!E2:E37, 0))</f>
        <v>A3 - 司 丽荣</v>
      </c>
      <c r="C24" s="8" t="str">
        <f t="array" ref="C24">INDEX(A组循环赛总分!F2:F37, MATCH(4, A组循环赛总分!E2:E37, 0))</f>
        <v>A4 - 邢 世杰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2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229</v>
      </c>
      <c r="C26" s="25" t="s">
        <v>230</v>
      </c>
      <c r="D26" s="19" t="s">
        <v>231</v>
      </c>
      <c r="E26" s="19" t="s">
        <v>232</v>
      </c>
      <c r="F26" s="24" t="s">
        <v>233</v>
      </c>
      <c r="G26" s="24" t="s">
        <v>227</v>
      </c>
    </row>
    <row r="27" spans="1:8" x14ac:dyDescent="0.2">
      <c r="A27" s="8" t="s">
        <v>234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3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235</v>
      </c>
      <c r="C29" s="25" t="s">
        <v>236</v>
      </c>
      <c r="D29" s="19" t="s">
        <v>237</v>
      </c>
      <c r="E29" s="19" t="s">
        <v>238</v>
      </c>
      <c r="F29" s="24" t="s">
        <v>239</v>
      </c>
      <c r="G29" s="24" t="s">
        <v>240</v>
      </c>
    </row>
    <row r="30" spans="1:8" x14ac:dyDescent="0.2">
      <c r="A30" s="8" t="s">
        <v>241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4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242</v>
      </c>
      <c r="B33" s="19" t="s">
        <v>243</v>
      </c>
      <c r="C33" s="19" t="s">
        <v>244</v>
      </c>
      <c r="D33" s="27" t="s">
        <v>245</v>
      </c>
      <c r="E33" s="27" t="s">
        <v>246</v>
      </c>
      <c r="F33" s="24" t="s">
        <v>247</v>
      </c>
      <c r="G33" s="24" t="s">
        <v>248</v>
      </c>
    </row>
    <row r="34" spans="1:8" x14ac:dyDescent="0.2">
      <c r="A34" s="8" t="s">
        <v>249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3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250</v>
      </c>
      <c r="C36" s="19" t="s">
        <v>251</v>
      </c>
      <c r="D36" s="27" t="s">
        <v>252</v>
      </c>
      <c r="E36" s="27" t="s">
        <v>253</v>
      </c>
      <c r="F36" s="24" t="s">
        <v>254</v>
      </c>
      <c r="G36" s="24" t="s">
        <v>255</v>
      </c>
    </row>
    <row r="37" spans="1:8" x14ac:dyDescent="0.2">
      <c r="A37" s="8" t="s">
        <v>256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4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28" t="s">
        <v>257</v>
      </c>
      <c r="B40" s="28" t="s">
        <v>258</v>
      </c>
      <c r="C40" s="28" t="s">
        <v>258</v>
      </c>
      <c r="D40" s="28" t="s">
        <v>259</v>
      </c>
      <c r="E40" s="28" t="s">
        <v>259</v>
      </c>
      <c r="F40" s="24" t="s">
        <v>260</v>
      </c>
      <c r="G40" s="24" t="s">
        <v>261</v>
      </c>
    </row>
    <row r="41" spans="1:8" x14ac:dyDescent="0.2">
      <c r="A41" s="8" t="s">
        <v>262</v>
      </c>
      <c r="B41" s="8" t="str">
        <f>IF(F34 &gt; G34, D34, IF(F34 &lt; G34, B34, ""))</f>
        <v/>
      </c>
      <c r="C41" s="8" t="str">
        <f>IF(F34 &gt; G34, E34, IF(F34 &lt; G34, C34, ""))</f>
        <v/>
      </c>
      <c r="D41" s="8" t="str">
        <f>IF(F37 &gt; G37, D37, IF(F37 &lt; G37, B37, ""))</f>
        <v/>
      </c>
      <c r="E41" s="8" t="str">
        <f>IF(F37 &gt; G37, E37, IF(F37 &lt; G37, C37, ""))</f>
        <v/>
      </c>
      <c r="F41" s="24"/>
      <c r="G41" s="24"/>
    </row>
    <row r="42" spans="1:8" x14ac:dyDescent="0.2">
      <c r="F42" s="15"/>
      <c r="G42" s="15"/>
    </row>
    <row r="43" spans="1:8" x14ac:dyDescent="0.2">
      <c r="A43" s="28" t="s">
        <v>263</v>
      </c>
      <c r="B43" s="28" t="s">
        <v>264</v>
      </c>
      <c r="C43" s="28" t="s">
        <v>265</v>
      </c>
      <c r="D43" s="28" t="s">
        <v>266</v>
      </c>
      <c r="E43" s="28" t="s">
        <v>267</v>
      </c>
      <c r="F43" s="24" t="s">
        <v>268</v>
      </c>
      <c r="G43" s="24" t="s">
        <v>269</v>
      </c>
    </row>
    <row r="44" spans="1:8" x14ac:dyDescent="0.2">
      <c r="A44" s="8" t="s">
        <v>270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M24" sqref="M24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3" t="s">
        <v>122</v>
      </c>
      <c r="B1" s="4" t="s">
        <v>123</v>
      </c>
      <c r="C1" s="4" t="s">
        <v>124</v>
      </c>
      <c r="D1" s="4" t="s">
        <v>125</v>
      </c>
      <c r="E1" s="4" t="s">
        <v>126</v>
      </c>
      <c r="F1" s="4" t="s">
        <v>127</v>
      </c>
      <c r="G1" s="5" t="s">
        <v>128</v>
      </c>
      <c r="H1" s="5" t="s">
        <v>129</v>
      </c>
      <c r="I1" s="4" t="s">
        <v>130</v>
      </c>
      <c r="J1" s="4" t="s">
        <v>131</v>
      </c>
    </row>
    <row r="2" spans="1:10" ht="15.75" customHeight="1" x14ac:dyDescent="0.25">
      <c r="A2" s="6" t="s">
        <v>271</v>
      </c>
      <c r="B2" s="7" t="str">
        <f>"B" &amp; 对阵图!B2 &amp; " - " &amp; VLOOKUP("B" &amp; 对阵图!B2, B组抽签!$A:$B, 2, FALSE)</f>
        <v>B1 - 张 卫明</v>
      </c>
      <c r="C2" s="7" t="str">
        <f>"B" &amp; 对阵图!C2 &amp; " - " &amp; VLOOKUP("B" &amp; 对阵图!C2, B组抽签!$A:$B, 2, FALSE)</f>
        <v>B18 - 彭 飞</v>
      </c>
      <c r="D2" s="7" t="str">
        <f>"B" &amp; 对阵图!D2 &amp; " - " &amp; VLOOKUP("B" &amp; 对阵图!D2, B组抽签!$A:$B, 2, FALSE)</f>
        <v>B2 - Lu Dongmei</v>
      </c>
      <c r="E2" s="7" t="str">
        <f>"B" &amp; 对阵图!E2 &amp; " - " &amp; VLOOKUP("B" &amp; 对阵图!E2, B组抽签!$A:$B, 2, FALSE)</f>
        <v>B17 - 张 圣云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272</v>
      </c>
      <c r="B3" s="7" t="str">
        <f>"B" &amp; 对阵图!B3 &amp; " - " &amp; VLOOKUP("B" &amp; 对阵图!B3, B组抽签!$A:$B, 2, FALSE)</f>
        <v>B3 - Li Jingyan</v>
      </c>
      <c r="C3" s="7" t="str">
        <f>"B" &amp; 对阵图!C3 &amp; " - " &amp; VLOOKUP("B" &amp; 对阵图!C3, B组抽签!$A:$B, 2, FALSE)</f>
        <v>B5 - Yuan Stellven</v>
      </c>
      <c r="D3" s="7" t="str">
        <f>"B" &amp; 对阵图!D3 &amp; " - " &amp; VLOOKUP("B" &amp; 对阵图!D3, B组抽签!$A:$B, 2, FALSE)</f>
        <v>B4 - 张 立诚</v>
      </c>
      <c r="E3" s="7" t="str">
        <f>"B" &amp; 对阵图!E3 &amp; " - " &amp; VLOOKUP("B" &amp; 对阵图!E3, B组抽签!$A:$B, 2, FALSE)</f>
        <v>B28 - Yuan Jenny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273</v>
      </c>
      <c r="B4" s="7" t="str">
        <f>"B" &amp; 对阵图!B4 &amp; " - " &amp; VLOOKUP("B" &amp; 对阵图!B4, B组抽签!$A:$B, 2, FALSE)</f>
        <v>B6 - 吕 秀华</v>
      </c>
      <c r="C4" s="7" t="str">
        <f>"B" &amp; 对阵图!C4 &amp; " - " &amp; VLOOKUP("B" &amp; 对阵图!C4, B组抽签!$A:$B, 2, FALSE)</f>
        <v>B33 - 王 桐</v>
      </c>
      <c r="D4" s="7" t="str">
        <f>"B" &amp; 对阵图!D4 &amp; " - " &amp; VLOOKUP("B" &amp; 对阵图!D4, B组抽签!$A:$B, 2, FALSE)</f>
        <v>B7 - jiang 红柳</v>
      </c>
      <c r="E4" s="7" t="str">
        <f>"B" &amp; 对阵图!E4 &amp; " - " &amp; VLOOKUP("B" &amp; 对阵图!E4, B组抽签!$A:$B, 2, FALSE)</f>
        <v>B21 - Zhao Helen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274</v>
      </c>
      <c r="B5" s="7" t="str">
        <f>"B" &amp; 对阵图!B5 &amp; " - " &amp; VLOOKUP("B" &amp; 对阵图!B5, B组抽签!$A:$B, 2, FALSE)</f>
        <v>B8 - Liang Jessie</v>
      </c>
      <c r="C5" s="7" t="str">
        <f>"B" &amp; 对阵图!C5 &amp; " - " &amp; VLOOKUP("B" &amp; 对阵图!C5, B组抽签!$A:$B, 2, FALSE)</f>
        <v>B22 - Li Sheng</v>
      </c>
      <c r="D5" s="7" t="str">
        <f>"B" &amp; 对阵图!D5 &amp; " - " &amp; VLOOKUP("B" &amp; 对阵图!D5, B组抽签!$A:$B, 2, FALSE)</f>
        <v>B9 - Wang Cliff</v>
      </c>
      <c r="E5" s="7" t="str">
        <f>"B" &amp; 对阵图!E5 &amp; " - " &amp; VLOOKUP("B" &amp; 对阵图!E5, B组抽签!$A:$B, 2, FALSE)</f>
        <v>B16 - Guo Sherry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275</v>
      </c>
      <c r="B6" s="7" t="str">
        <f>"B" &amp; 对阵图!B6 &amp; " - " &amp; VLOOKUP("B" &amp; 对阵图!B6, B组抽签!$A:$B, 2, FALSE)</f>
        <v>B10 - Li Lisa</v>
      </c>
      <c r="C6" s="7" t="str">
        <f>"B" &amp; 对阵图!C6 &amp; " - " &amp; VLOOKUP("B" &amp; 对阵图!C6, B组抽签!$A:$B, 2, FALSE)</f>
        <v>B25 - Zhan Lixin</v>
      </c>
      <c r="D6" s="7" t="str">
        <f>"B" &amp; 对阵图!D6 &amp; " - " &amp; VLOOKUP("B" &amp; 对阵图!D6, B组抽签!$A:$B, 2, FALSE)</f>
        <v>B11 - Lin Linda</v>
      </c>
      <c r="E6" s="7" t="str">
        <f>"B" &amp; 对阵图!E6 &amp; " - " &amp; VLOOKUP("B" &amp; 对阵图!E6, B组抽签!$A:$B, 2, FALSE)</f>
        <v>B12 - Gou James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276</v>
      </c>
      <c r="B7" s="7" t="str">
        <f>"B" &amp; 对阵图!B7 &amp; " - " &amp; VLOOKUP("B" &amp; 对阵图!B7, B组抽签!$A:$B, 2, FALSE)</f>
        <v>B13 - 陈 海容</v>
      </c>
      <c r="C7" s="7" t="str">
        <f>"B" &amp; 对阵图!C7 &amp; " - " &amp; VLOOKUP("B" &amp; 对阵图!C7, B组抽签!$A:$B, 2, FALSE)</f>
        <v>B15 - 罗 野</v>
      </c>
      <c r="D7" s="7" t="str">
        <f>"B" &amp; 对阵图!D7 &amp; " - " &amp; VLOOKUP("B" &amp; 对阵图!D7, B组抽签!$A:$B, 2, FALSE)</f>
        <v>B14 - 李 青</v>
      </c>
      <c r="E7" s="7" t="str">
        <f>"B" &amp; 对阵图!E7 &amp; " - " &amp; VLOOKUP("B" &amp; 对阵图!E7, B组抽签!$A:$B, 2, FALSE)</f>
        <v>B32 - Wang Mengyi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277</v>
      </c>
      <c r="B8" s="7" t="str">
        <f>"B" &amp; 对阵图!B8 &amp; " - " &amp; VLOOKUP("B" &amp; 对阵图!B8, B组抽签!$A:$B, 2, FALSE)</f>
        <v>B19 - Tian Wanting</v>
      </c>
      <c r="C8" s="7" t="str">
        <f>"B" &amp; 对阵图!C8 &amp; " - " &amp; VLOOKUP("B" &amp; 对阵图!C8, B组抽签!$A:$B, 2, FALSE)</f>
        <v>B34 - 殷 亚兰</v>
      </c>
      <c r="D8" s="7" t="str">
        <f>"B" &amp; 对阵图!D8 &amp; " - " &amp; VLOOKUP("B" &amp; 对阵图!D8, B组抽签!$A:$B, 2, FALSE)</f>
        <v>B20 - Feng Yaru</v>
      </c>
      <c r="E8" s="7" t="str">
        <f>"B" &amp; 对阵图!E8 &amp; " - " &amp; VLOOKUP("B" &amp; 对阵图!E8, B组抽签!$A:$B, 2, FALSE)</f>
        <v>B36 - Song Qingxia</v>
      </c>
      <c r="F8" s="8">
        <v>4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278</v>
      </c>
      <c r="B9" s="7" t="str">
        <f>"B" &amp; 对阵图!B9 &amp; " - " &amp; VLOOKUP("B" &amp; 对阵图!B9, B组抽签!$A:$B, 2, FALSE)</f>
        <v>B23 - 王 旭</v>
      </c>
      <c r="C9" s="7" t="str">
        <f>"B" &amp; 对阵图!C9 &amp; " - " &amp; VLOOKUP("B" &amp; 对阵图!C9, B组抽签!$A:$B, 2, FALSE)</f>
        <v>B29 - 焦 冬</v>
      </c>
      <c r="D9" s="7" t="str">
        <f>"B" &amp; 对阵图!D9 &amp; " - " &amp; VLOOKUP("B" &amp; 对阵图!D9, B组抽签!$A:$B, 2, FALSE)</f>
        <v>B31 - 金 锦</v>
      </c>
      <c r="E9" s="7" t="str">
        <f>"B" &amp; 对阵图!E9 &amp; " - " &amp; VLOOKUP("B" &amp; 对阵图!E9, B组抽签!$A:$B, 2, FALSE)</f>
        <v>B35 - Rong Robert</v>
      </c>
      <c r="F9" s="8">
        <v>5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279</v>
      </c>
      <c r="B10" s="7" t="str">
        <f>"B" &amp; 对阵图!B10 &amp; " - " &amp; VLOOKUP("B" &amp; 对阵图!B10, B组抽签!$A:$B, 2, FALSE)</f>
        <v>B24 - Xia Guibai</v>
      </c>
      <c r="C10" s="7" t="str">
        <f>"B" &amp; 对阵图!C10 &amp; " - " &amp; VLOOKUP("B" &amp; 对阵图!C10, B组抽签!$A:$B, 2, FALSE)</f>
        <v>B26 - Mike Nie</v>
      </c>
      <c r="D10" s="7" t="str">
        <f>"B" &amp; 对阵图!D10 &amp; " - " &amp; VLOOKUP("B" &amp; 对阵图!D10, B组抽签!$A:$B, 2, FALSE)</f>
        <v>B27 - 郭 庆</v>
      </c>
      <c r="E10" s="7" t="str">
        <f>"B" &amp; 对阵图!E10 &amp; " - " &amp; VLOOKUP("B" &amp; 对阵图!E10, B组抽签!$A:$B, 2, FALSE)</f>
        <v>B30 - 董 Grace</v>
      </c>
      <c r="F10" s="8">
        <v>6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280</v>
      </c>
      <c r="B11" s="10" t="str">
        <f>"B" &amp; 对阵图!B11 &amp; " - " &amp; VLOOKUP("B" &amp; 对阵图!B11, B组抽签!$A:$B, 2, FALSE)</f>
        <v>B7 - jiang 红柳</v>
      </c>
      <c r="C11" s="10" t="str">
        <f>"B" &amp; 对阵图!C11 &amp; " - " &amp; VLOOKUP("B" &amp; 对阵图!C11, B组抽签!$A:$B, 2, FALSE)</f>
        <v>B28 - Yuan Jenny</v>
      </c>
      <c r="D11" s="10" t="str">
        <f>"B" &amp; 对阵图!D11 &amp; " - " &amp; VLOOKUP("B" &amp; 对阵图!D11, B组抽签!$A:$B, 2, FALSE)</f>
        <v>B6 - 吕 秀华</v>
      </c>
      <c r="E11" s="10" t="str">
        <f>"B" &amp; 对阵图!E11 &amp; " - " &amp; VLOOKUP("B" &amp; 对阵图!E11, B组抽签!$A:$B, 2, FALSE)</f>
        <v>B34 - 殷 亚兰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281</v>
      </c>
      <c r="B12" s="10" t="str">
        <f>"B" &amp; 对阵图!B12 &amp; " - " &amp; VLOOKUP("B" &amp; 对阵图!B12, B组抽签!$A:$B, 2, FALSE)</f>
        <v>B15 - 罗 野</v>
      </c>
      <c r="C12" s="10" t="str">
        <f>"B" &amp; 对阵图!C12 &amp; " - " &amp; VLOOKUP("B" &amp; 对阵图!C12, B组抽签!$A:$B, 2, FALSE)</f>
        <v>B21 - Zhao Helen</v>
      </c>
      <c r="D12" s="10" t="str">
        <f>"B" &amp; 对阵图!D12 &amp; " - " &amp; VLOOKUP("B" &amp; 对阵图!D12, B组抽签!$A:$B, 2, FALSE)</f>
        <v>B5 - Yuan Stellven</v>
      </c>
      <c r="E12" s="10" t="str">
        <f>"B" &amp; 对阵图!E12 &amp; " - " &amp; VLOOKUP("B" &amp; 对阵图!E12, B组抽签!$A:$B, 2, FALSE)</f>
        <v>B31 - 金 锦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282</v>
      </c>
      <c r="B13" s="10" t="str">
        <f>"B" &amp; 对阵图!B13 &amp; " - " &amp; VLOOKUP("B" &amp; 对阵图!B13, B组抽签!$A:$B, 2, FALSE)</f>
        <v>B9 - Wang Cliff</v>
      </c>
      <c r="C13" s="10" t="str">
        <f>"B" &amp; 对阵图!C13 &amp; " - " &amp; VLOOKUP("B" &amp; 对阵图!C13, B组抽签!$A:$B, 2, FALSE)</f>
        <v>B20 - Feng Yaru</v>
      </c>
      <c r="D13" s="10" t="str">
        <f>"B" &amp; 对阵图!D13 &amp; " - " &amp; VLOOKUP("B" &amp; 对阵图!D13, B组抽签!$A:$B, 2, FALSE)</f>
        <v>B2 - Lu Dongmei</v>
      </c>
      <c r="E13" s="10" t="str">
        <f>"B" &amp; 对阵图!E13 &amp; " - " &amp; VLOOKUP("B" &amp; 对阵图!E13, B组抽签!$A:$B, 2, FALSE)</f>
        <v>B32 - Wang Mengyi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283</v>
      </c>
      <c r="B14" s="10" t="str">
        <f>"B" &amp; 对阵图!B14 &amp; " - " &amp; VLOOKUP("B" &amp; 对阵图!B14, B组抽签!$A:$B, 2, FALSE)</f>
        <v>B10 - Li Lisa</v>
      </c>
      <c r="C14" s="10" t="str">
        <f>"B" &amp; 对阵图!C14 &amp; " - " &amp; VLOOKUP("B" &amp; 对阵图!C14, B组抽签!$A:$B, 2, FALSE)</f>
        <v>B22 - Li Sheng</v>
      </c>
      <c r="D14" s="10" t="str">
        <f>"B" &amp; 对阵图!D14 &amp; " - " &amp; VLOOKUP("B" &amp; 对阵图!D14, B组抽签!$A:$B, 2, FALSE)</f>
        <v>B1 - 张 卫明</v>
      </c>
      <c r="E14" s="10" t="str">
        <f>"B" &amp; 对阵图!E14 &amp; " - " &amp; VLOOKUP("B" &amp; 对阵图!E14, B组抽签!$A:$B, 2, FALSE)</f>
        <v>B35 - Rong Robert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284</v>
      </c>
      <c r="B15" s="10" t="str">
        <f>"B" &amp; 对阵图!B15 &amp; " - " &amp; VLOOKUP("B" &amp; 对阵图!B15, B组抽签!$A:$B, 2, FALSE)</f>
        <v>B8 - Liang Jessie</v>
      </c>
      <c r="C15" s="10" t="str">
        <f>"B" &amp; 对阵图!C15 &amp; " - " &amp; VLOOKUP("B" &amp; 对阵图!C15, B组抽签!$A:$B, 2, FALSE)</f>
        <v>B33 - 王 桐</v>
      </c>
      <c r="D15" s="10" t="str">
        <f>"B" &amp; 对阵图!D15 &amp; " - " &amp; VLOOKUP("B" &amp; 对阵图!D15, B组抽签!$A:$B, 2, FALSE)</f>
        <v>B3 - Li Jingyan</v>
      </c>
      <c r="E15" s="10" t="str">
        <f>"B" &amp; 对阵图!E15 &amp; " - " &amp; VLOOKUP("B" &amp; 对阵图!E15, B组抽签!$A:$B, 2, FALSE)</f>
        <v>B4 - 张 立诚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285</v>
      </c>
      <c r="B16" s="10" t="str">
        <f>"B" &amp; 对阵图!B16 &amp; " - " &amp; VLOOKUP("B" &amp; 对阵图!B16, B组抽签!$A:$B, 2, FALSE)</f>
        <v>B29 - 焦 冬</v>
      </c>
      <c r="C16" s="10" t="str">
        <f>"B" &amp; 对阵图!C16 &amp; " - " &amp; VLOOKUP("B" &amp; 对阵图!C16, B组抽签!$A:$B, 2, FALSE)</f>
        <v>B30 - 董 Grace</v>
      </c>
      <c r="D16" s="10" t="str">
        <f>"B" &amp; 对阵图!D16 &amp; " - " &amp; VLOOKUP("B" &amp; 对阵图!D16, B组抽签!$A:$B, 2, FALSE)</f>
        <v>B11 - Lin Linda</v>
      </c>
      <c r="E16" s="10" t="str">
        <f>"B" &amp; 对阵图!E16 &amp; " - " &amp; VLOOKUP("B" &amp; 对阵图!E16, B组抽签!$A:$B, 2, FALSE)</f>
        <v>B17 - 张 圣云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286</v>
      </c>
      <c r="B17" s="10" t="str">
        <f>"B" &amp; 对阵图!B17 &amp; " - " &amp; VLOOKUP("B" &amp; 对阵图!B17, B组抽签!$A:$B, 2, FALSE)</f>
        <v>B23 - 王 旭</v>
      </c>
      <c r="C17" s="10" t="str">
        <f>"B" &amp; 对阵图!C17 &amp; " - " &amp; VLOOKUP("B" &amp; 对阵图!C17, B组抽签!$A:$B, 2, FALSE)</f>
        <v>B26 - Mike Nie</v>
      </c>
      <c r="D17" s="10" t="str">
        <f>"B" &amp; 对阵图!D17 &amp; " - " &amp; VLOOKUP("B" &amp; 对阵图!D17, B组抽签!$A:$B, 2, FALSE)</f>
        <v>B12 - Gou James</v>
      </c>
      <c r="E17" s="10" t="str">
        <f>"B" &amp; 对阵图!E17 &amp; " - " &amp; VLOOKUP("B" &amp; 对阵图!E17, B组抽签!$A:$B, 2, FALSE)</f>
        <v>B13 - 陈 海容</v>
      </c>
      <c r="F17" s="8">
        <v>4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287</v>
      </c>
      <c r="B18" s="10" t="str">
        <f>"B" &amp; 对阵图!B18 &amp; " - " &amp; VLOOKUP("B" &amp; 对阵图!B18, B组抽签!$A:$B, 2, FALSE)</f>
        <v>B19 - Tian Wanting</v>
      </c>
      <c r="C18" s="10" t="str">
        <f>"B" &amp; 对阵图!C18 &amp; " - " &amp; VLOOKUP("B" &amp; 对阵图!C18, B组抽签!$A:$B, 2, FALSE)</f>
        <v>B24 - Xia Guibai</v>
      </c>
      <c r="D18" s="10" t="str">
        <f>"B" &amp; 对阵图!D18 &amp; " - " &amp; VLOOKUP("B" &amp; 对阵图!D18, B组抽签!$A:$B, 2, FALSE)</f>
        <v>B14 - 李 青</v>
      </c>
      <c r="E18" s="10" t="str">
        <f>"B" &amp; 对阵图!E18 &amp; " - " &amp; VLOOKUP("B" &amp; 对阵图!E18, B组抽签!$A:$B, 2, FALSE)</f>
        <v>B25 - Zhan Lixin</v>
      </c>
      <c r="F18" s="8">
        <v>5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288</v>
      </c>
      <c r="B19" s="10" t="str">
        <f>"B" &amp; 对阵图!B19 &amp; " - " &amp; VLOOKUP("B" &amp; 对阵图!B19, B组抽签!$A:$B, 2, FALSE)</f>
        <v>B18 - 彭 飞</v>
      </c>
      <c r="C19" s="10" t="str">
        <f>"B" &amp; 对阵图!C19 &amp; " - " &amp; VLOOKUP("B" &amp; 对阵图!C19, B组抽签!$A:$B, 2, FALSE)</f>
        <v>B36 - Song Qingxia</v>
      </c>
      <c r="D19" s="10" t="str">
        <f>"B" &amp; 对阵图!D19 &amp; " - " &amp; VLOOKUP("B" &amp; 对阵图!D19, B组抽签!$A:$B, 2, FALSE)</f>
        <v>B16 - Guo Sherry</v>
      </c>
      <c r="E19" s="10" t="str">
        <f>"B" &amp; 对阵图!E19 &amp; " - " &amp; VLOOKUP("B" &amp; 对阵图!E19, B组抽签!$A:$B, 2, FALSE)</f>
        <v>B27 - 郭 庆</v>
      </c>
      <c r="F19" s="8">
        <v>6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289</v>
      </c>
      <c r="B20" s="11" t="str">
        <f>"B" &amp; 对阵图!B20 &amp; " - " &amp; VLOOKUP("B" &amp; 对阵图!B20, B组抽签!$A:$B, 2, FALSE)</f>
        <v>B33 - 王 桐</v>
      </c>
      <c r="C20" s="11" t="str">
        <f>"B" &amp; 对阵图!C20 &amp; " - " &amp; VLOOKUP("B" &amp; 对阵图!C20, B组抽签!$A:$B, 2, FALSE)</f>
        <v>B34 - 殷 亚兰</v>
      </c>
      <c r="D20" s="11" t="str">
        <f>"B" &amp; 对阵图!D20 &amp; " - " &amp; VLOOKUP("B" &amp; 对阵图!D20, B组抽签!$A:$B, 2, FALSE)</f>
        <v>B9 - Wang Cliff</v>
      </c>
      <c r="E20" s="11" t="str">
        <f>"B" &amp; 对阵图!E20 &amp; " - " &amp; VLOOKUP("B" &amp; 对阵图!E20, B组抽签!$A:$B, 2, FALSE)</f>
        <v>B10 - Li Lisa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290</v>
      </c>
      <c r="B21" s="11" t="str">
        <f>"B" &amp; 对阵图!B21 &amp; " - " &amp; VLOOKUP("B" &amp; 对阵图!B21, B组抽签!$A:$B, 2, FALSE)</f>
        <v>B22 - Li Sheng</v>
      </c>
      <c r="C21" s="11" t="str">
        <f>"B" &amp; 对阵图!C21 &amp; " - " &amp; VLOOKUP("B" &amp; 对阵图!C21, B组抽签!$A:$B, 2, FALSE)</f>
        <v>B30 - 董 Grace</v>
      </c>
      <c r="D21" s="11" t="str">
        <f>"B" &amp; 对阵图!D21 &amp; " - " &amp; VLOOKUP("B" &amp; 对阵图!D21, B组抽签!$A:$B, 2, FALSE)</f>
        <v>B8 - Liang Jessie</v>
      </c>
      <c r="E21" s="11" t="str">
        <f>"B" &amp; 对阵图!E21 &amp; " - " &amp; VLOOKUP("B" &amp; 对阵图!E21, B组抽签!$A:$B, 2, FALSE)</f>
        <v>B14 - 李 青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291</v>
      </c>
      <c r="B22" s="11" t="str">
        <f>"B" &amp; 对阵图!B22 &amp; " - " &amp; VLOOKUP("B" &amp; 对阵图!B22, B组抽签!$A:$B, 2, FALSE)</f>
        <v>B27 - 郭 庆</v>
      </c>
      <c r="C22" s="11" t="str">
        <f>"B" &amp; 对阵图!C22 &amp; " - " &amp; VLOOKUP("B" &amp; 对阵图!C22, B组抽签!$A:$B, 2, FALSE)</f>
        <v>B36 - Song Qingxia</v>
      </c>
      <c r="D22" s="11" t="str">
        <f>"B" &amp; 对阵图!D22 &amp; " - " &amp; VLOOKUP("B" &amp; 对阵图!D22, B组抽签!$A:$B, 2, FALSE)</f>
        <v>B15 - 罗 野</v>
      </c>
      <c r="E22" s="11" t="str">
        <f>"B" &amp; 对阵图!E22 &amp; " - " &amp; VLOOKUP("B" &amp; 对阵图!E22, B组抽签!$A:$B, 2, FALSE)</f>
        <v>B28 - Yuan Jenny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292</v>
      </c>
      <c r="B23" s="11" t="str">
        <f>"B" &amp; 对阵图!B23 &amp; " - " &amp; VLOOKUP("B" &amp; 对阵图!B23, B组抽签!$A:$B, 2, FALSE)</f>
        <v>B7 - jiang 红柳</v>
      </c>
      <c r="C23" s="11" t="str">
        <f>"B" &amp; 对阵图!C23 &amp; " - " &amp; VLOOKUP("B" &amp; 对阵图!C23, B组抽签!$A:$B, 2, FALSE)</f>
        <v>B29 - 焦 冬</v>
      </c>
      <c r="D23" s="11" t="str">
        <f>"B" &amp; 对阵图!D23 &amp; " - " &amp; VLOOKUP("B" &amp; 对阵图!D23, B组抽签!$A:$B, 2, FALSE)</f>
        <v>B1 - 张 卫明</v>
      </c>
      <c r="E23" s="11" t="str">
        <f>"B" &amp; 对阵图!E23 &amp; " - " &amp; VLOOKUP("B" &amp; 对阵图!E23, B组抽签!$A:$B, 2, FALSE)</f>
        <v>B12 - Gou James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293</v>
      </c>
      <c r="B24" s="11" t="str">
        <f>"B" &amp; 对阵图!B24 &amp; " - " &amp; VLOOKUP("B" &amp; 对阵图!B24, B组抽签!$A:$B, 2, FALSE)</f>
        <v>B20 - Feng Yaru</v>
      </c>
      <c r="C24" s="11" t="str">
        <f>"B" &amp; 对阵图!C24 &amp; " - " &amp; VLOOKUP("B" &amp; 对阵图!C24, B组抽签!$A:$B, 2, FALSE)</f>
        <v>B25 - Zhan Lixin</v>
      </c>
      <c r="D24" s="11" t="str">
        <f>"B" &amp; 对阵图!D24 &amp; " - " &amp; VLOOKUP("B" &amp; 对阵图!D24, B组抽签!$A:$B, 2, FALSE)</f>
        <v>B6 - 吕 秀华</v>
      </c>
      <c r="E24" s="11" t="str">
        <f>"B" &amp; 对阵图!E24 &amp; " - " &amp; VLOOKUP("B" &amp; 对阵图!E24, B组抽签!$A:$B, 2, FALSE)</f>
        <v>B26 - Mike Nie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294</v>
      </c>
      <c r="B25" s="11" t="str">
        <f>"B" &amp; 对阵图!B25 &amp; " - " &amp; VLOOKUP("B" &amp; 对阵图!B25, B组抽签!$A:$B, 2, FALSE)</f>
        <v>B13 - 陈 海容</v>
      </c>
      <c r="C25" s="11" t="str">
        <f>"B" &amp; 对阵图!C25 &amp; " - " &amp; VLOOKUP("B" &amp; 对阵图!C25, B组抽签!$A:$B, 2, FALSE)</f>
        <v>B35 - Rong Robert</v>
      </c>
      <c r="D25" s="11" t="str">
        <f>"B" &amp; 对阵图!D25 &amp; " - " &amp; VLOOKUP("B" &amp; 对阵图!D25, B组抽签!$A:$B, 2, FALSE)</f>
        <v>B3 - Li Jingyan</v>
      </c>
      <c r="E25" s="11" t="str">
        <f>"B" &amp; 对阵图!E25 &amp; " - " &amp; VLOOKUP("B" &amp; 对阵图!E25, B组抽签!$A:$B, 2, FALSE)</f>
        <v>B31 - 金 锦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295</v>
      </c>
      <c r="B26" s="11" t="str">
        <f>"B" &amp; 对阵图!B26 &amp; " - " &amp; VLOOKUP("B" &amp; 对阵图!B26, B组抽签!$A:$B, 2, FALSE)</f>
        <v>B23 - 王 旭</v>
      </c>
      <c r="C26" s="11" t="str">
        <f>"B" &amp; 对阵图!C26 &amp; " - " &amp; VLOOKUP("B" &amp; 对阵图!C26, B组抽签!$A:$B, 2, FALSE)</f>
        <v>B24 - Xia Guibai</v>
      </c>
      <c r="D26" s="11" t="str">
        <f>"B" &amp; 对阵图!D26 &amp; " - " &amp; VLOOKUP("B" &amp; 对阵图!D26, B组抽签!$A:$B, 2, FALSE)</f>
        <v>B2 - Lu Dongmei</v>
      </c>
      <c r="E26" s="11" t="str">
        <f>"B" &amp; 对阵图!E26 &amp; " - " &amp; VLOOKUP("B" &amp; 对阵图!E26, B组抽签!$A:$B, 2, FALSE)</f>
        <v>B4 - 张 立诚</v>
      </c>
      <c r="F26" s="8">
        <v>4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296</v>
      </c>
      <c r="B27" s="11" t="str">
        <f>"B" &amp; 对阵图!B27 &amp; " - " &amp; VLOOKUP("B" &amp; 对阵图!B27, B组抽签!$A:$B, 2, FALSE)</f>
        <v>B18 - 彭 飞</v>
      </c>
      <c r="C27" s="11" t="str">
        <f>"B" &amp; 对阵图!C27 &amp; " - " &amp; VLOOKUP("B" &amp; 对阵图!C27, B组抽签!$A:$B, 2, FALSE)</f>
        <v>B19 - Tian Wanting</v>
      </c>
      <c r="D27" s="11" t="str">
        <f>"B" &amp; 对阵图!D27 &amp; " - " &amp; VLOOKUP("B" &amp; 对阵图!D27, B组抽签!$A:$B, 2, FALSE)</f>
        <v>B5 - Yuan Stellven</v>
      </c>
      <c r="E27" s="11" t="str">
        <f>"B" &amp; 对阵图!E27 &amp; " - " &amp; VLOOKUP("B" &amp; 对阵图!E27, B组抽签!$A:$B, 2, FALSE)</f>
        <v>B11 - Lin Linda</v>
      </c>
      <c r="F27" s="8">
        <v>5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297</v>
      </c>
      <c r="B28" s="11" t="str">
        <f>"B" &amp; 对阵图!B28 &amp; " - " &amp; VLOOKUP("B" &amp; 对阵图!B28, B组抽签!$A:$B, 2, FALSE)</f>
        <v>B21 - Zhao Helen</v>
      </c>
      <c r="C28" s="11" t="str">
        <f>"B" &amp; 对阵图!C28 &amp; " - " &amp; VLOOKUP("B" &amp; 对阵图!C28, B组抽签!$A:$B, 2, FALSE)</f>
        <v>B32 - Wang Mengyi</v>
      </c>
      <c r="D28" s="11" t="str">
        <f>"B" &amp; 对阵图!D28 &amp; " - " &amp; VLOOKUP("B" &amp; 对阵图!D28, B组抽签!$A:$B, 2, FALSE)</f>
        <v>B16 - Guo Sherry</v>
      </c>
      <c r="E28" s="11" t="str">
        <f>"B" &amp; 对阵图!E28 &amp; " - " &amp; VLOOKUP("B" &amp; 对阵图!E28, B组抽签!$A:$B, 2, FALSE)</f>
        <v>B17 - 张 圣云</v>
      </c>
      <c r="F28" s="8">
        <v>6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298</v>
      </c>
      <c r="B29" s="29" t="str">
        <f>"B" &amp; 对阵图!B29 &amp; " - " &amp; VLOOKUP("B" &amp; 对阵图!B29, B组抽签!$A:$B, 2, FALSE)</f>
        <v>B21 - Zhao Helen</v>
      </c>
      <c r="C29" s="29" t="str">
        <f>"B" &amp; 对阵图!C29 &amp; " - " &amp; VLOOKUP("B" &amp; 对阵图!C29, B组抽签!$A:$B, 2, FALSE)</f>
        <v>B35 - Rong Robert</v>
      </c>
      <c r="D29" s="29" t="str">
        <f>"B" &amp; 对阵图!D29 &amp; " - " &amp; VLOOKUP("B" &amp; 对阵图!D29, B组抽签!$A:$B, 2, FALSE)</f>
        <v>B12 - Gou James</v>
      </c>
      <c r="E29" s="29" t="str">
        <f>"B" &amp; 对阵图!E29 &amp; " - " &amp; VLOOKUP("B" &amp; 对阵图!E29, B组抽签!$A:$B, 2, FALSE)</f>
        <v>B30 - 董 Grace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299</v>
      </c>
      <c r="B30" s="29" t="str">
        <f>"B" &amp; 对阵图!B30 &amp; " - " &amp; VLOOKUP("B" &amp; 对阵图!B30, B组抽签!$A:$B, 2, FALSE)</f>
        <v>B19 - Tian Wanting</v>
      </c>
      <c r="C30" s="29" t="str">
        <f>"B" &amp; 对阵图!C30 &amp; " - " &amp; VLOOKUP("B" &amp; 对阵图!C30, B组抽签!$A:$B, 2, FALSE)</f>
        <v>B26 - Mike Nie</v>
      </c>
      <c r="D30" s="29" t="str">
        <f>"B" &amp; 对阵图!D30 &amp; " - " &amp; VLOOKUP("B" &amp; 对阵图!D30, B组抽签!$A:$B, 2, FALSE)</f>
        <v>B22 - Li Sheng</v>
      </c>
      <c r="E30" s="29" t="str">
        <f>"B" &amp; 对阵图!E30 &amp; " - " &amp; VLOOKUP("B" &amp; 对阵图!E30, B组抽签!$A:$B, 2, FALSE)</f>
        <v>B34 - 殷 亚兰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300</v>
      </c>
      <c r="B31" s="29" t="str">
        <f>"B" &amp; 对阵图!B31 &amp; " - " &amp; VLOOKUP("B" &amp; 对阵图!B31, B组抽签!$A:$B, 2, FALSE)</f>
        <v>B15 - 罗 野</v>
      </c>
      <c r="C31" s="29" t="str">
        <f>"B" &amp; 对阵图!C31 &amp; " - " &amp; VLOOKUP("B" &amp; 对阵图!C31, B组抽签!$A:$B, 2, FALSE)</f>
        <v>B20 - Feng Yaru</v>
      </c>
      <c r="D31" s="29" t="str">
        <f>"B" &amp; 对阵图!D31 &amp; " - " &amp; VLOOKUP("B" &amp; 对阵图!D31, B组抽签!$A:$B, 2, FALSE)</f>
        <v>B13 - 陈 海容</v>
      </c>
      <c r="E31" s="29" t="str">
        <f>"B" &amp; 对阵图!E31 &amp; " - " &amp; VLOOKUP("B" &amp; 对阵图!E31, B组抽签!$A:$B, 2, FALSE)</f>
        <v>B33 - 王 桐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301</v>
      </c>
      <c r="B32" s="29" t="str">
        <f>"B" &amp; 对阵图!B32 &amp; " - " &amp; VLOOKUP("B" &amp; 对阵图!B32, B组抽签!$A:$B, 2, FALSE)</f>
        <v>B9 - Wang Cliff</v>
      </c>
      <c r="C32" s="29" t="str">
        <f>"B" &amp; 对阵图!C32 &amp; " - " &amp; VLOOKUP("B" &amp; 对阵图!C32, B组抽签!$A:$B, 2, FALSE)</f>
        <v>B24 - Xia Guibai</v>
      </c>
      <c r="D32" s="29" t="str">
        <f>"B" &amp; 对阵图!D32 &amp; " - " &amp; VLOOKUP("B" &amp; 对阵图!D32, B组抽签!$A:$B, 2, FALSE)</f>
        <v>B18 - 彭 飞</v>
      </c>
      <c r="E32" s="29" t="str">
        <f>"B" &amp; 对阵图!E32 &amp; " - " &amp; VLOOKUP("B" &amp; 对阵图!E32, B组抽签!$A:$B, 2, FALSE)</f>
        <v>B28 - Yuan Jenny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302</v>
      </c>
      <c r="B33" s="29" t="str">
        <f>"B" &amp; 对阵图!B33 &amp; " - " &amp; VLOOKUP("B" &amp; 对阵图!B33, B组抽签!$A:$B, 2, FALSE)</f>
        <v>B10 - Li Lisa</v>
      </c>
      <c r="C33" s="29" t="str">
        <f>"B" &amp; 对阵图!C33 &amp; " - " &amp; VLOOKUP("B" &amp; 对阵图!C33, B组抽签!$A:$B, 2, FALSE)</f>
        <v>B32 - Wang Mengyi</v>
      </c>
      <c r="D33" s="29" t="str">
        <f>"B" &amp; 对阵图!D33 &amp; " - " &amp; VLOOKUP("B" &amp; 对阵图!D33, B组抽签!$A:$B, 2, FALSE)</f>
        <v>B8 - Liang Jessie</v>
      </c>
      <c r="E33" s="29" t="str">
        <f>"B" &amp; 对阵图!E33 &amp; " - " &amp; VLOOKUP("B" &amp; 对阵图!E33, B组抽签!$A:$B, 2, FALSE)</f>
        <v>B29 - 焦 冬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303</v>
      </c>
      <c r="B34" s="29" t="str">
        <f>"B" &amp; 对阵图!B34 &amp; " - " &amp; VLOOKUP("B" &amp; 对阵图!B34, B组抽签!$A:$B, 2, FALSE)</f>
        <v>B1 - 张 卫明</v>
      </c>
      <c r="C34" s="29" t="str">
        <f>"B" &amp; 对阵图!C34 &amp; " - " &amp; VLOOKUP("B" &amp; 对阵图!C34, B组抽签!$A:$B, 2, FALSE)</f>
        <v>B25 - Zhan Lixin</v>
      </c>
      <c r="D34" s="29" t="str">
        <f>"B" &amp; 对阵图!D34 &amp; " - " &amp; VLOOKUP("B" &amp; 对阵图!D34, B组抽签!$A:$B, 2, FALSE)</f>
        <v>B16 - Guo Sherry</v>
      </c>
      <c r="E34" s="29" t="str">
        <f>"B" &amp; 对阵图!E34 &amp; " - " &amp; VLOOKUP("B" &amp; 对阵图!E34, B组抽签!$A:$B, 2, FALSE)</f>
        <v>B36 - Song Qingxia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304</v>
      </c>
      <c r="B35" s="29" t="str">
        <f>"B" &amp; 对阵图!B35 &amp; " - " &amp; VLOOKUP("B" &amp; 对阵图!B35, B组抽签!$A:$B, 2, FALSE)</f>
        <v>B7 - jiang 红柳</v>
      </c>
      <c r="C35" s="29" t="str">
        <f>"B" &amp; 对阵图!C35 &amp; " - " &amp; VLOOKUP("B" &amp; 对阵图!C35, B组抽签!$A:$B, 2, FALSE)</f>
        <v>B17 - 张 圣云</v>
      </c>
      <c r="D35" s="29" t="str">
        <f>"B" &amp; 对阵图!D35 &amp; " - " &amp; VLOOKUP("B" &amp; 对阵图!D35, B组抽签!$A:$B, 2, FALSE)</f>
        <v>B4 - 张 立诚</v>
      </c>
      <c r="E35" s="29" t="str">
        <f>"B" &amp; 对阵图!E35 &amp; " - " &amp; VLOOKUP("B" &amp; 对阵图!E35, B组抽签!$A:$B, 2, FALSE)</f>
        <v>B27 - 郭 庆</v>
      </c>
      <c r="F35" s="8">
        <v>4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305</v>
      </c>
      <c r="B36" s="29" t="str">
        <f>"B" &amp; 对阵图!B36 &amp; " - " &amp; VLOOKUP("B" &amp; 对阵图!B36, B组抽签!$A:$B, 2, FALSE)</f>
        <v>B5 - Yuan Stellven</v>
      </c>
      <c r="C36" s="29" t="str">
        <f>"B" &amp; 对阵图!C36 &amp; " - " &amp; VLOOKUP("B" &amp; 对阵图!C36, B组抽签!$A:$B, 2, FALSE)</f>
        <v>B23 - 王 旭</v>
      </c>
      <c r="D36" s="29" t="str">
        <f>"B" &amp; 对阵图!D36 &amp; " - " &amp; VLOOKUP("B" &amp; 对阵图!D36, B组抽签!$A:$B, 2, FALSE)</f>
        <v>B6 - 吕 秀华</v>
      </c>
      <c r="E36" s="29" t="str">
        <f>"B" &amp; 对阵图!E36 &amp; " - " &amp; VLOOKUP("B" &amp; 对阵图!E36, B组抽签!$A:$B, 2, FALSE)</f>
        <v>B11 - Lin Linda</v>
      </c>
      <c r="F36" s="8">
        <v>5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306</v>
      </c>
      <c r="B37" s="29" t="str">
        <f>"B" &amp; 对阵图!B37 &amp; " - " &amp; VLOOKUP("B" &amp; 对阵图!B37, B组抽签!$A:$B, 2, FALSE)</f>
        <v>B2 - Lu Dongmei</v>
      </c>
      <c r="C37" s="29" t="str">
        <f>"B" &amp; 对阵图!C37 &amp; " - " &amp; VLOOKUP("B" &amp; 对阵图!C37, B组抽签!$A:$B, 2, FALSE)</f>
        <v>B31 - 金 锦</v>
      </c>
      <c r="D37" s="29" t="str">
        <f>"B" &amp; 对阵图!D37 &amp; " - " &amp; VLOOKUP("B" &amp; 对阵图!D37, B组抽签!$A:$B, 2, FALSE)</f>
        <v>B3 - Li Jingyan</v>
      </c>
      <c r="E37" s="29" t="str">
        <f>"B" &amp; 对阵图!E37 &amp; " - " &amp; VLOOKUP("B" &amp; 对阵图!E37, B组抽签!$A:$B, 2, FALSE)</f>
        <v>B14 - 李 青</v>
      </c>
      <c r="F37" s="8">
        <v>6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6" t="s">
        <v>168</v>
      </c>
      <c r="B1" s="16" t="s">
        <v>169</v>
      </c>
      <c r="C1" s="16" t="s">
        <v>170</v>
      </c>
      <c r="E1" s="17" t="s">
        <v>171</v>
      </c>
      <c r="F1" s="17" t="s">
        <v>168</v>
      </c>
      <c r="G1" s="17" t="s">
        <v>172</v>
      </c>
      <c r="H1" s="17" t="s">
        <v>170</v>
      </c>
    </row>
    <row r="2" spans="1:8" ht="15.75" customHeight="1" x14ac:dyDescent="0.25">
      <c r="A2" s="18" t="str">
        <f t="array" ref="A2:A1000">B组抽签!A2:A1000 &amp; " - " &amp; B组抽签!B2:B1000</f>
        <v>B1 - 张 卫明</v>
      </c>
      <c r="B2" s="19">
        <f>SUMIF(B组循环赛4轮!B:B, A2, B组循环赛4轮!G:G) + SUMIF(B组循环赛4轮!C:C, A2, B组循环赛4轮!G:G) + SUMIF(B组循环赛4轮!D:D, A2, B组循环赛4轮!H:H) + SUMIF(B组循环赛4轮!E:E, A2, B组循环赛4轮!H:H)</f>
        <v>0</v>
      </c>
      <c r="C2" s="20">
        <f>SUMIF(B组循环赛4轮!B:B, A2, B组循环赛4轮!I:I) + SUMIF(B组循环赛4轮!C:C, A2, B组循环赛4轮!I:I) + SUMIF(B组循环赛4轮!D:D, A2, B组循环赛4轮!J:J) + SUMIF(B组循环赛4轮!E:E, A2, B组循环赛4轮!J:J)</f>
        <v>0</v>
      </c>
      <c r="E2" s="21">
        <v>1</v>
      </c>
      <c r="F2" s="21" t="str" cm="1">
        <f t="array" ref="F2:H37">_xlfn.SORTBY(A2:C37, B2:B37, -1, C2:C37, -1)</f>
        <v>B1 - 张 卫明</v>
      </c>
      <c r="G2" s="20">
        <v>0</v>
      </c>
      <c r="H2" s="20">
        <v>0</v>
      </c>
    </row>
    <row r="3" spans="1:8" ht="15.75" customHeight="1" x14ac:dyDescent="0.25">
      <c r="A3" s="18" t="str">
        <v>B2 - Lu Dongmei</v>
      </c>
      <c r="B3" s="19">
        <f>SUMIF(B组循环赛4轮!B:B, A3, B组循环赛4轮!G:G) + SUMIF(B组循环赛4轮!C:C, A3, B组循环赛4轮!G:G) + SUMIF(B组循环赛4轮!D:D, A3, B组循环赛4轮!H:H) + SUMIF(B组循环赛4轮!E:E, A3, B组循环赛4轮!H:H)</f>
        <v>0</v>
      </c>
      <c r="C3" s="20">
        <f>SUMIF(B组循环赛4轮!B:B, A3, B组循环赛4轮!I:I) + SUMIF(B组循环赛4轮!C:C, A3, B组循环赛4轮!I:I) + SUMIF(B组循环赛4轮!D:D, A3, B组循环赛4轮!J:J) + SUMIF(B组循环赛4轮!E:E, A3, B组循环赛4轮!J:J)</f>
        <v>0</v>
      </c>
      <c r="E3" s="21">
        <v>2</v>
      </c>
      <c r="F3" s="21" t="str">
        <v>B2 - Lu Dongmei</v>
      </c>
      <c r="G3" s="20">
        <v>0</v>
      </c>
      <c r="H3" s="20">
        <v>0</v>
      </c>
    </row>
    <row r="4" spans="1:8" ht="15.75" customHeight="1" x14ac:dyDescent="0.25">
      <c r="A4" s="18" t="str">
        <v>B3 - Li Jingyan</v>
      </c>
      <c r="B4" s="19">
        <f>SUMIF(B组循环赛4轮!B:B, A4, B组循环赛4轮!G:G) + SUMIF(B组循环赛4轮!C:C, A4, B组循环赛4轮!G:G) + SUMIF(B组循环赛4轮!D:D, A4, B组循环赛4轮!H:H) + SUMIF(B组循环赛4轮!E:E, A4, B组循环赛4轮!H:H)</f>
        <v>0</v>
      </c>
      <c r="C4" s="20">
        <f>SUMIF(B组循环赛4轮!B:B, A4, B组循环赛4轮!I:I) + SUMIF(B组循环赛4轮!C:C, A4, B组循环赛4轮!I:I) + SUMIF(B组循环赛4轮!D:D, A4, B组循环赛4轮!J:J) + SUMIF(B组循环赛4轮!E:E, A4, B组循环赛4轮!J:J)</f>
        <v>0</v>
      </c>
      <c r="E4" s="21">
        <v>3</v>
      </c>
      <c r="F4" s="21" t="str">
        <v>B3 - Li Jingyan</v>
      </c>
      <c r="G4" s="20">
        <v>0</v>
      </c>
      <c r="H4" s="20">
        <v>0</v>
      </c>
    </row>
    <row r="5" spans="1:8" ht="15.75" customHeight="1" x14ac:dyDescent="0.25">
      <c r="A5" s="18" t="str">
        <v>B4 - 张 立诚</v>
      </c>
      <c r="B5" s="19">
        <f>SUMIF(B组循环赛4轮!B:B, A5, B组循环赛4轮!G:G) + SUMIF(B组循环赛4轮!C:C, A5, B组循环赛4轮!G:G) + SUMIF(B组循环赛4轮!D:D, A5, B组循环赛4轮!H:H) + SUMIF(B组循环赛4轮!E:E, A5, B组循环赛4轮!H:H)</f>
        <v>0</v>
      </c>
      <c r="C5" s="20">
        <f>SUMIF(B组循环赛4轮!B:B, A5, B组循环赛4轮!I:I) + SUMIF(B组循环赛4轮!C:C, A5, B组循环赛4轮!I:I) + SUMIF(B组循环赛4轮!D:D, A5, B组循环赛4轮!J:J) + SUMIF(B组循环赛4轮!E:E, A5, B组循环赛4轮!J:J)</f>
        <v>0</v>
      </c>
      <c r="E5" s="21">
        <v>4</v>
      </c>
      <c r="F5" s="21" t="str">
        <v>B4 - 张 立诚</v>
      </c>
      <c r="G5" s="20">
        <v>0</v>
      </c>
      <c r="H5" s="20">
        <v>0</v>
      </c>
    </row>
    <row r="6" spans="1:8" ht="15.75" customHeight="1" x14ac:dyDescent="0.25">
      <c r="A6" s="18" t="str">
        <v>B5 - Yuan Stellven</v>
      </c>
      <c r="B6" s="19">
        <f>SUMIF(B组循环赛4轮!B:B, A6, B组循环赛4轮!G:G) + SUMIF(B组循环赛4轮!C:C, A6, B组循环赛4轮!G:G) + SUMIF(B组循环赛4轮!D:D, A6, B组循环赛4轮!H:H) + SUMIF(B组循环赛4轮!E:E, A6, B组循环赛4轮!H:H)</f>
        <v>0</v>
      </c>
      <c r="C6" s="20">
        <f>SUMIF(B组循环赛4轮!B:B, A6, B组循环赛4轮!I:I) + SUMIF(B组循环赛4轮!C:C, A6, B组循环赛4轮!I:I) + SUMIF(B组循环赛4轮!D:D, A6, B组循环赛4轮!J:J) + SUMIF(B组循环赛4轮!E:E, A6, B组循环赛4轮!J:J)</f>
        <v>0</v>
      </c>
      <c r="E6" s="21">
        <v>5</v>
      </c>
      <c r="F6" s="21" t="str">
        <v>B5 - Yuan Stellven</v>
      </c>
      <c r="G6" s="20">
        <v>0</v>
      </c>
      <c r="H6" s="20">
        <v>0</v>
      </c>
    </row>
    <row r="7" spans="1:8" ht="15.75" customHeight="1" x14ac:dyDescent="0.25">
      <c r="A7" s="18" t="str">
        <v>B6 - 吕 秀华</v>
      </c>
      <c r="B7" s="19">
        <f>SUMIF(B组循环赛4轮!B:B, A7, B组循环赛4轮!G:G) + SUMIF(B组循环赛4轮!C:C, A7, B组循环赛4轮!G:G) + SUMIF(B组循环赛4轮!D:D, A7, B组循环赛4轮!H:H) + SUMIF(B组循环赛4轮!E:E, A7, B组循环赛4轮!H:H)</f>
        <v>0</v>
      </c>
      <c r="C7" s="20">
        <f>SUMIF(B组循环赛4轮!B:B, A7, B组循环赛4轮!I:I) + SUMIF(B组循环赛4轮!C:C, A7, B组循环赛4轮!I:I) + SUMIF(B组循环赛4轮!D:D, A7, B组循环赛4轮!J:J) + SUMIF(B组循环赛4轮!E:E, A7, B组循环赛4轮!J:J)</f>
        <v>0</v>
      </c>
      <c r="E7" s="21">
        <v>6</v>
      </c>
      <c r="F7" s="21" t="str">
        <v>B6 - 吕 秀华</v>
      </c>
      <c r="G7" s="20">
        <v>0</v>
      </c>
      <c r="H7" s="20">
        <v>0</v>
      </c>
    </row>
    <row r="8" spans="1:8" ht="15.75" customHeight="1" x14ac:dyDescent="0.25">
      <c r="A8" s="18" t="str">
        <v>B7 - jiang 红柳</v>
      </c>
      <c r="B8" s="19">
        <f>SUMIF(B组循环赛4轮!B:B, A8, B组循环赛4轮!G:G) + SUMIF(B组循环赛4轮!C:C, A8, B组循环赛4轮!G:G) + SUMIF(B组循环赛4轮!D:D, A8, B组循环赛4轮!H:H) + SUMIF(B组循环赛4轮!E:E, A8, B组循环赛4轮!H:H)</f>
        <v>0</v>
      </c>
      <c r="C8" s="20">
        <f>SUMIF(B组循环赛4轮!B:B, A8, B组循环赛4轮!I:I) + SUMIF(B组循环赛4轮!C:C, A8, B组循环赛4轮!I:I) + SUMIF(B组循环赛4轮!D:D, A8, B组循环赛4轮!J:J) + SUMIF(B组循环赛4轮!E:E, A8, B组循环赛4轮!J:J)</f>
        <v>0</v>
      </c>
      <c r="E8" s="21">
        <v>7</v>
      </c>
      <c r="F8" s="21" t="str">
        <v>B7 - jiang 红柳</v>
      </c>
      <c r="G8" s="20">
        <v>0</v>
      </c>
      <c r="H8" s="20">
        <v>0</v>
      </c>
    </row>
    <row r="9" spans="1:8" ht="15.75" customHeight="1" x14ac:dyDescent="0.25">
      <c r="A9" s="18" t="str">
        <v>B8 - Liang Jessie</v>
      </c>
      <c r="B9" s="19">
        <f>SUMIF(B组循环赛4轮!B:B, A9, B组循环赛4轮!G:G) + SUMIF(B组循环赛4轮!C:C, A9, B组循环赛4轮!G:G) + SUMIF(B组循环赛4轮!D:D, A9, B组循环赛4轮!H:H) + SUMIF(B组循环赛4轮!E:E, A9, B组循环赛4轮!H:H)</f>
        <v>0</v>
      </c>
      <c r="C9" s="20">
        <f>SUMIF(B组循环赛4轮!B:B, A9, B组循环赛4轮!I:I) + SUMIF(B组循环赛4轮!C:C, A9, B组循环赛4轮!I:I) + SUMIF(B组循环赛4轮!D:D, A9, B组循环赛4轮!J:J) + SUMIF(B组循环赛4轮!E:E, A9, B组循环赛4轮!J:J)</f>
        <v>0</v>
      </c>
      <c r="E9" s="21">
        <v>8</v>
      </c>
      <c r="F9" s="21" t="str">
        <v>B8 - Liang Jessie</v>
      </c>
      <c r="G9" s="20">
        <v>0</v>
      </c>
      <c r="H9" s="20">
        <v>0</v>
      </c>
    </row>
    <row r="10" spans="1:8" ht="15.75" customHeight="1" x14ac:dyDescent="0.25">
      <c r="A10" s="18" t="str">
        <v>B9 - Wang Cliff</v>
      </c>
      <c r="B10" s="19">
        <f>SUMIF(B组循环赛4轮!B:B, A10, B组循环赛4轮!G:G) + SUMIF(B组循环赛4轮!C:C, A10, B组循环赛4轮!G:G) + SUMIF(B组循环赛4轮!D:D, A10, B组循环赛4轮!H:H) + SUMIF(B组循环赛4轮!E:E, A10, B组循环赛4轮!H:H)</f>
        <v>0</v>
      </c>
      <c r="C10" s="20">
        <f>SUMIF(B组循环赛4轮!B:B, A10, B组循环赛4轮!I:I) + SUMIF(B组循环赛4轮!C:C, A10, B组循环赛4轮!I:I) + SUMIF(B组循环赛4轮!D:D, A10, B组循环赛4轮!J:J) + SUMIF(B组循环赛4轮!E:E, A10, B组循环赛4轮!J:J)</f>
        <v>0</v>
      </c>
      <c r="E10" s="21">
        <v>9</v>
      </c>
      <c r="F10" s="21" t="str">
        <v>B9 - Wang Cliff</v>
      </c>
      <c r="G10" s="20">
        <v>0</v>
      </c>
      <c r="H10" s="20">
        <v>0</v>
      </c>
    </row>
    <row r="11" spans="1:8" ht="15.75" customHeight="1" x14ac:dyDescent="0.25">
      <c r="A11" s="18" t="str">
        <v>B10 - Li Lisa</v>
      </c>
      <c r="B11" s="19">
        <f>SUMIF(B组循环赛4轮!B:B, A11, B组循环赛4轮!G:G) + SUMIF(B组循环赛4轮!C:C, A11, B组循环赛4轮!G:G) + SUMIF(B组循环赛4轮!D:D, A11, B组循环赛4轮!H:H) + SUMIF(B组循环赛4轮!E:E, A11, B组循环赛4轮!H:H)</f>
        <v>0</v>
      </c>
      <c r="C11" s="20">
        <f>SUMIF(B组循环赛4轮!B:B, A11, B组循环赛4轮!I:I) + SUMIF(B组循环赛4轮!C:C, A11, B组循环赛4轮!I:I) + SUMIF(B组循环赛4轮!D:D, A11, B组循环赛4轮!J:J) + SUMIF(B组循环赛4轮!E:E, A11, B组循环赛4轮!J:J)</f>
        <v>0</v>
      </c>
      <c r="E11" s="21">
        <v>10</v>
      </c>
      <c r="F11" s="21" t="str">
        <v>B10 - Li Lisa</v>
      </c>
      <c r="G11" s="20">
        <v>0</v>
      </c>
      <c r="H11" s="20">
        <v>0</v>
      </c>
    </row>
    <row r="12" spans="1:8" ht="15.75" customHeight="1" x14ac:dyDescent="0.25">
      <c r="A12" s="18" t="str">
        <v>B11 - Lin Linda</v>
      </c>
      <c r="B12" s="19">
        <f>SUMIF(B组循环赛4轮!B:B, A12, B组循环赛4轮!G:G) + SUMIF(B组循环赛4轮!C:C, A12, B组循环赛4轮!G:G) + SUMIF(B组循环赛4轮!D:D, A12, B组循环赛4轮!H:H) + SUMIF(B组循环赛4轮!E:E, A12, B组循环赛4轮!H:H)</f>
        <v>0</v>
      </c>
      <c r="C12" s="20">
        <f>SUMIF(B组循环赛4轮!B:B, A12, B组循环赛4轮!I:I) + SUMIF(B组循环赛4轮!C:C, A12, B组循环赛4轮!I:I) + SUMIF(B组循环赛4轮!D:D, A12, B组循环赛4轮!J:J) + SUMIF(B组循环赛4轮!E:E, A12, B组循环赛4轮!J:J)</f>
        <v>0</v>
      </c>
      <c r="E12" s="21">
        <v>11</v>
      </c>
      <c r="F12" s="21" t="str">
        <v>B11 - Lin Linda</v>
      </c>
      <c r="G12" s="20">
        <v>0</v>
      </c>
      <c r="H12" s="20">
        <v>0</v>
      </c>
    </row>
    <row r="13" spans="1:8" ht="15.75" customHeight="1" x14ac:dyDescent="0.25">
      <c r="A13" s="18" t="str">
        <v>B12 - Gou James</v>
      </c>
      <c r="B13" s="19">
        <f>SUMIF(B组循环赛4轮!B:B, A13, B组循环赛4轮!G:G) + SUMIF(B组循环赛4轮!C:C, A13, B组循环赛4轮!G:G) + SUMIF(B组循环赛4轮!D:D, A13, B组循环赛4轮!H:H) + SUMIF(B组循环赛4轮!E:E, A13, B组循环赛4轮!H:H)</f>
        <v>0</v>
      </c>
      <c r="C13" s="20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1">
        <v>12</v>
      </c>
      <c r="F13" s="21" t="str">
        <v>B12 - Gou James</v>
      </c>
      <c r="G13" s="20">
        <v>0</v>
      </c>
      <c r="H13" s="20">
        <v>0</v>
      </c>
    </row>
    <row r="14" spans="1:8" ht="15.75" customHeight="1" x14ac:dyDescent="0.25">
      <c r="A14" s="18" t="str">
        <v>B13 - 陈 海容</v>
      </c>
      <c r="B14" s="19">
        <f>SUMIF(B组循环赛4轮!B:B, A14, B组循环赛4轮!G:G) + SUMIF(B组循环赛4轮!C:C, A14, B组循环赛4轮!G:G) + SUMIF(B组循环赛4轮!D:D, A14, B组循环赛4轮!H:H) + SUMIF(B组循环赛4轮!E:E, A14, B组循环赛4轮!H:H)</f>
        <v>0</v>
      </c>
      <c r="C14" s="20">
        <f>SUMIF(B组循环赛4轮!B:B, A14, B组循环赛4轮!I:I) + SUMIF(B组循环赛4轮!C:C, A14, B组循环赛4轮!I:I) + SUMIF(B组循环赛4轮!D:D, A14, B组循环赛4轮!J:J) + SUMIF(B组循环赛4轮!E:E, A14, B组循环赛4轮!J:J)</f>
        <v>0</v>
      </c>
      <c r="E14" s="21">
        <v>13</v>
      </c>
      <c r="F14" s="21" t="str">
        <v>B13 - 陈 海容</v>
      </c>
      <c r="G14" s="20">
        <v>0</v>
      </c>
      <c r="H14" s="20">
        <v>0</v>
      </c>
    </row>
    <row r="15" spans="1:8" ht="15.75" customHeight="1" x14ac:dyDescent="0.25">
      <c r="A15" s="18" t="str">
        <v>B14 - 李 青</v>
      </c>
      <c r="B15" s="19">
        <f>SUMIF(B组循环赛4轮!B:B, A15, B组循环赛4轮!G:G) + SUMIF(B组循环赛4轮!C:C, A15, B组循环赛4轮!G:G) + SUMIF(B组循环赛4轮!D:D, A15, B组循环赛4轮!H:H) + SUMIF(B组循环赛4轮!E:E, A15, B组循环赛4轮!H:H)</f>
        <v>0</v>
      </c>
      <c r="C15" s="20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1">
        <v>14</v>
      </c>
      <c r="F15" s="21" t="str">
        <v>B14 - 李 青</v>
      </c>
      <c r="G15" s="20">
        <v>0</v>
      </c>
      <c r="H15" s="20">
        <v>0</v>
      </c>
    </row>
    <row r="16" spans="1:8" ht="15.75" customHeight="1" x14ac:dyDescent="0.25">
      <c r="A16" s="18" t="str">
        <v>B15 - 罗 野</v>
      </c>
      <c r="B16" s="19">
        <f>SUMIF(B组循环赛4轮!B:B, A16, B组循环赛4轮!G:G) + SUMIF(B组循环赛4轮!C:C, A16, B组循环赛4轮!G:G) + SUMIF(B组循环赛4轮!D:D, A16, B组循环赛4轮!H:H) + SUMIF(B组循环赛4轮!E:E, A16, B组循环赛4轮!H:H)</f>
        <v>0</v>
      </c>
      <c r="C16" s="20">
        <f>SUMIF(B组循环赛4轮!B:B, A16, B组循环赛4轮!I:I) + SUMIF(B组循环赛4轮!C:C, A16, B组循环赛4轮!I:I) + SUMIF(B组循环赛4轮!D:D, A16, B组循环赛4轮!J:J) + SUMIF(B组循环赛4轮!E:E, A16, B组循环赛4轮!J:J)</f>
        <v>0</v>
      </c>
      <c r="E16" s="21">
        <v>15</v>
      </c>
      <c r="F16" s="21" t="str">
        <v>B15 - 罗 野</v>
      </c>
      <c r="G16" s="20">
        <v>0</v>
      </c>
      <c r="H16" s="20">
        <v>0</v>
      </c>
    </row>
    <row r="17" spans="1:8" ht="15.75" customHeight="1" x14ac:dyDescent="0.25">
      <c r="A17" s="18" t="str">
        <v>B16 - Guo Sherry</v>
      </c>
      <c r="B17" s="19">
        <f>SUMIF(B组循环赛4轮!B:B, A17, B组循环赛4轮!G:G) + SUMIF(B组循环赛4轮!C:C, A17, B组循环赛4轮!G:G) + SUMIF(B组循环赛4轮!D:D, A17, B组循环赛4轮!H:H) + SUMIF(B组循环赛4轮!E:E, A17, B组循环赛4轮!H:H)</f>
        <v>0</v>
      </c>
      <c r="C17" s="20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1">
        <v>16</v>
      </c>
      <c r="F17" s="21" t="str">
        <v>B16 - Guo Sherry</v>
      </c>
      <c r="G17" s="20">
        <v>0</v>
      </c>
      <c r="H17" s="20">
        <v>0</v>
      </c>
    </row>
    <row r="18" spans="1:8" ht="15.75" customHeight="1" x14ac:dyDescent="0.25">
      <c r="A18" s="18" t="str">
        <v>B17 - 张 圣云</v>
      </c>
      <c r="B18" s="19">
        <f>SUMIF(B组循环赛4轮!B:B, A18, B组循环赛4轮!G:G) + SUMIF(B组循环赛4轮!C:C, A18, B组循环赛4轮!G:G) + SUMIF(B组循环赛4轮!D:D, A18, B组循环赛4轮!H:H) + SUMIF(B组循环赛4轮!E:E, A18, B组循环赛4轮!H:H)</f>
        <v>0</v>
      </c>
      <c r="C18" s="20">
        <f>SUMIF(B组循环赛4轮!B:B, A18, B组循环赛4轮!I:I) + SUMIF(B组循环赛4轮!C:C, A18, B组循环赛4轮!I:I) + SUMIF(B组循环赛4轮!D:D, A18, B组循环赛4轮!J:J) + SUMIF(B组循环赛4轮!E:E, A18, B组循环赛4轮!J:J)</f>
        <v>0</v>
      </c>
      <c r="E18" s="21">
        <v>17</v>
      </c>
      <c r="F18" s="21" t="str">
        <v>B17 - 张 圣云</v>
      </c>
      <c r="G18" s="20">
        <v>0</v>
      </c>
      <c r="H18" s="20">
        <v>0</v>
      </c>
    </row>
    <row r="19" spans="1:8" ht="15.75" customHeight="1" x14ac:dyDescent="0.25">
      <c r="A19" s="18" t="str">
        <v>B18 - 彭 飞</v>
      </c>
      <c r="B19" s="19">
        <f>SUMIF(B组循环赛4轮!B:B, A19, B组循环赛4轮!G:G) + SUMIF(B组循环赛4轮!C:C, A19, B组循环赛4轮!G:G) + SUMIF(B组循环赛4轮!D:D, A19, B组循环赛4轮!H:H) + SUMIF(B组循环赛4轮!E:E, A19, B组循环赛4轮!H:H)</f>
        <v>0</v>
      </c>
      <c r="C19" s="20">
        <f>SUMIF(B组循环赛4轮!B:B, A19, B组循环赛4轮!I:I) + SUMIF(B组循环赛4轮!C:C, A19, B组循环赛4轮!I:I) + SUMIF(B组循环赛4轮!D:D, A19, B组循环赛4轮!J:J) + SUMIF(B组循环赛4轮!E:E, A19, B组循环赛4轮!J:J)</f>
        <v>0</v>
      </c>
      <c r="E19" s="21">
        <v>18</v>
      </c>
      <c r="F19" s="21" t="str">
        <v>B18 - 彭 飞</v>
      </c>
      <c r="G19" s="20">
        <v>0</v>
      </c>
      <c r="H19" s="20">
        <v>0</v>
      </c>
    </row>
    <row r="20" spans="1:8" ht="15.75" customHeight="1" x14ac:dyDescent="0.25">
      <c r="A20" s="18" t="str">
        <v>B19 - Tian Wanting</v>
      </c>
      <c r="B20" s="19">
        <f>SUMIF(B组循环赛4轮!B:B, A20, B组循环赛4轮!G:G) + SUMIF(B组循环赛4轮!C:C, A20, B组循环赛4轮!G:G) + SUMIF(B组循环赛4轮!D:D, A20, B组循环赛4轮!H:H) + SUMIF(B组循环赛4轮!E:E, A20, B组循环赛4轮!H:H)</f>
        <v>0</v>
      </c>
      <c r="C20" s="20">
        <f>SUMIF(B组循环赛4轮!B:B, A20, B组循环赛4轮!I:I) + SUMIF(B组循环赛4轮!C:C, A20, B组循环赛4轮!I:I) + SUMIF(B组循环赛4轮!D:D, A20, B组循环赛4轮!J:J) + SUMIF(B组循环赛4轮!E:E, A20, B组循环赛4轮!J:J)</f>
        <v>0</v>
      </c>
      <c r="E20" s="21">
        <v>19</v>
      </c>
      <c r="F20" s="21" t="str">
        <v>B19 - Tian Wanting</v>
      </c>
      <c r="G20" s="20">
        <v>0</v>
      </c>
      <c r="H20" s="20">
        <v>0</v>
      </c>
    </row>
    <row r="21" spans="1:8" ht="15.75" customHeight="1" x14ac:dyDescent="0.25">
      <c r="A21" s="18" t="str">
        <v>B20 - Feng Yaru</v>
      </c>
      <c r="B21" s="19">
        <f>SUMIF(B组循环赛4轮!B:B, A21, B组循环赛4轮!G:G) + SUMIF(B组循环赛4轮!C:C, A21, B组循环赛4轮!G:G) + SUMIF(B组循环赛4轮!D:D, A21, B组循环赛4轮!H:H) + SUMIF(B组循环赛4轮!E:E, A21, B组循环赛4轮!H:H)</f>
        <v>0</v>
      </c>
      <c r="C21" s="20">
        <f>SUMIF(B组循环赛4轮!B:B, A21, B组循环赛4轮!I:I) + SUMIF(B组循环赛4轮!C:C, A21, B组循环赛4轮!I:I) + SUMIF(B组循环赛4轮!D:D, A21, B组循环赛4轮!J:J) + SUMIF(B组循环赛4轮!E:E, A21, B组循环赛4轮!J:J)</f>
        <v>0</v>
      </c>
      <c r="E21" s="21">
        <v>20</v>
      </c>
      <c r="F21" s="21" t="str">
        <v>B20 - Feng Yaru</v>
      </c>
      <c r="G21" s="20">
        <v>0</v>
      </c>
      <c r="H21" s="20">
        <v>0</v>
      </c>
    </row>
    <row r="22" spans="1:8" ht="15.75" customHeight="1" x14ac:dyDescent="0.25">
      <c r="A22" s="18" t="str">
        <v>B21 - Zhao Helen</v>
      </c>
      <c r="B22" s="19">
        <f>SUMIF(B组循环赛4轮!B:B, A22, B组循环赛4轮!G:G) + SUMIF(B组循环赛4轮!C:C, A22, B组循环赛4轮!G:G) + SUMIF(B组循环赛4轮!D:D, A22, B组循环赛4轮!H:H) + SUMIF(B组循环赛4轮!E:E, A22, B组循环赛4轮!H:H)</f>
        <v>0</v>
      </c>
      <c r="C22" s="20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1">
        <v>21</v>
      </c>
      <c r="F22" s="21" t="str">
        <v>B21 - Zhao Helen</v>
      </c>
      <c r="G22" s="20">
        <v>0</v>
      </c>
      <c r="H22" s="20">
        <v>0</v>
      </c>
    </row>
    <row r="23" spans="1:8" ht="15.75" customHeight="1" x14ac:dyDescent="0.25">
      <c r="A23" s="18" t="str">
        <v>B22 - Li Sheng</v>
      </c>
      <c r="B23" s="19">
        <f>SUMIF(B组循环赛4轮!B:B, A23, B组循环赛4轮!G:G) + SUMIF(B组循环赛4轮!C:C, A23, B组循环赛4轮!G:G) + SUMIF(B组循环赛4轮!D:D, A23, B组循环赛4轮!H:H) + SUMIF(B组循环赛4轮!E:E, A23, B组循环赛4轮!H:H)</f>
        <v>0</v>
      </c>
      <c r="C23" s="20">
        <f>SUMIF(B组循环赛4轮!B:B, A23, B组循环赛4轮!I:I) + SUMIF(B组循环赛4轮!C:C, A23, B组循环赛4轮!I:I) + SUMIF(B组循环赛4轮!D:D, A23, B组循环赛4轮!J:J) + SUMIF(B组循环赛4轮!E:E, A23, B组循环赛4轮!J:J)</f>
        <v>0</v>
      </c>
      <c r="E23" s="21">
        <v>22</v>
      </c>
      <c r="F23" s="21" t="str">
        <v>B22 - Li Sheng</v>
      </c>
      <c r="G23" s="20">
        <v>0</v>
      </c>
      <c r="H23" s="20">
        <v>0</v>
      </c>
    </row>
    <row r="24" spans="1:8" ht="15.75" customHeight="1" x14ac:dyDescent="0.25">
      <c r="A24" s="18" t="str">
        <v>B23 - 王 旭</v>
      </c>
      <c r="B24" s="19">
        <f>SUMIF(B组循环赛4轮!B:B, A24, B组循环赛4轮!G:G) + SUMIF(B组循环赛4轮!C:C, A24, B组循环赛4轮!G:G) + SUMIF(B组循环赛4轮!D:D, A24, B组循环赛4轮!H:H) + SUMIF(B组循环赛4轮!E:E, A24, B组循环赛4轮!H:H)</f>
        <v>0</v>
      </c>
      <c r="C24" s="20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21">
        <v>23</v>
      </c>
      <c r="F24" s="21" t="str">
        <v>B23 - 王 旭</v>
      </c>
      <c r="G24" s="20">
        <v>0</v>
      </c>
      <c r="H24" s="20">
        <v>0</v>
      </c>
    </row>
    <row r="25" spans="1:8" ht="15.75" customHeight="1" x14ac:dyDescent="0.25">
      <c r="A25" s="18" t="str">
        <v>B24 - Xia Guibai</v>
      </c>
      <c r="B25" s="19">
        <f>SUMIF(B组循环赛4轮!B:B, A25, B组循环赛4轮!G:G) + SUMIF(B组循环赛4轮!C:C, A25, B组循环赛4轮!G:G) + SUMIF(B组循环赛4轮!D:D, A25, B组循环赛4轮!H:H) + SUMIF(B组循环赛4轮!E:E, A25, B组循环赛4轮!H:H)</f>
        <v>0</v>
      </c>
      <c r="C25" s="20">
        <f>SUMIF(B组循环赛4轮!B:B, A25, B组循环赛4轮!I:I) + SUMIF(B组循环赛4轮!C:C, A25, B组循环赛4轮!I:I) + SUMIF(B组循环赛4轮!D:D, A25, B组循环赛4轮!J:J) + SUMIF(B组循环赛4轮!E:E, A25, B组循环赛4轮!J:J)</f>
        <v>0</v>
      </c>
      <c r="E25" s="21">
        <v>24</v>
      </c>
      <c r="F25" s="21" t="str">
        <v>B24 - Xia Guibai</v>
      </c>
      <c r="G25" s="20">
        <v>0</v>
      </c>
      <c r="H25" s="20">
        <v>0</v>
      </c>
    </row>
    <row r="26" spans="1:8" ht="15.75" customHeight="1" x14ac:dyDescent="0.25">
      <c r="A26" s="18" t="str">
        <v>B25 - Zhan Lixin</v>
      </c>
      <c r="B26" s="19">
        <f>SUMIF(B组循环赛4轮!B:B, A26, B组循环赛4轮!G:G) + SUMIF(B组循环赛4轮!C:C, A26, B组循环赛4轮!G:G) + SUMIF(B组循环赛4轮!D:D, A26, B组循环赛4轮!H:H) + SUMIF(B组循环赛4轮!E:E, A26, B组循环赛4轮!H:H)</f>
        <v>0</v>
      </c>
      <c r="C26" s="20">
        <f>SUMIF(B组循环赛4轮!B:B, A26, B组循环赛4轮!I:I) + SUMIF(B组循环赛4轮!C:C, A26, B组循环赛4轮!I:I) + SUMIF(B组循环赛4轮!D:D, A26, B组循环赛4轮!J:J) + SUMIF(B组循环赛4轮!E:E, A26, B组循环赛4轮!J:J)</f>
        <v>0</v>
      </c>
      <c r="E26" s="21">
        <v>25</v>
      </c>
      <c r="F26" s="21" t="str">
        <v>B25 - Zhan Lixin</v>
      </c>
      <c r="G26" s="20">
        <v>0</v>
      </c>
      <c r="H26" s="20">
        <v>0</v>
      </c>
    </row>
    <row r="27" spans="1:8" ht="15.75" customHeight="1" x14ac:dyDescent="0.25">
      <c r="A27" s="18" t="str">
        <v>B26 - Mike Nie</v>
      </c>
      <c r="B27" s="19">
        <f>SUMIF(B组循环赛4轮!B:B, A27, B组循环赛4轮!G:G) + SUMIF(B组循环赛4轮!C:C, A27, B组循环赛4轮!G:G) + SUMIF(B组循环赛4轮!D:D, A27, B组循环赛4轮!H:H) + SUMIF(B组循环赛4轮!E:E, A27, B组循环赛4轮!H:H)</f>
        <v>0</v>
      </c>
      <c r="C27" s="20">
        <f>SUMIF(B组循环赛4轮!B:B, A27, B组循环赛4轮!I:I) + SUMIF(B组循环赛4轮!C:C, A27, B组循环赛4轮!I:I) + SUMIF(B组循环赛4轮!D:D, A27, B组循环赛4轮!J:J) + SUMIF(B组循环赛4轮!E:E, A27, B组循环赛4轮!J:J)</f>
        <v>0</v>
      </c>
      <c r="E27" s="21">
        <v>26</v>
      </c>
      <c r="F27" s="21" t="str">
        <v>B26 - Mike Nie</v>
      </c>
      <c r="G27" s="20">
        <v>0</v>
      </c>
      <c r="H27" s="20">
        <v>0</v>
      </c>
    </row>
    <row r="28" spans="1:8" ht="15.75" customHeight="1" x14ac:dyDescent="0.25">
      <c r="A28" s="18" t="str">
        <v>B27 - 郭 庆</v>
      </c>
      <c r="B28" s="19">
        <f>SUMIF(B组循环赛4轮!B:B, A28, B组循环赛4轮!G:G) + SUMIF(B组循环赛4轮!C:C, A28, B组循环赛4轮!G:G) + SUMIF(B组循环赛4轮!D:D, A28, B组循环赛4轮!H:H) + SUMIF(B组循环赛4轮!E:E, A28, B组循环赛4轮!H:H)</f>
        <v>0</v>
      </c>
      <c r="C28" s="20">
        <f>SUMIF(B组循环赛4轮!B:B, A28, B组循环赛4轮!I:I) + SUMIF(B组循环赛4轮!C:C, A28, B组循环赛4轮!I:I) + SUMIF(B组循环赛4轮!D:D, A28, B组循环赛4轮!J:J) + SUMIF(B组循环赛4轮!E:E, A28, B组循环赛4轮!J:J)</f>
        <v>0</v>
      </c>
      <c r="E28" s="21">
        <v>27</v>
      </c>
      <c r="F28" s="21" t="str">
        <v>B27 - 郭 庆</v>
      </c>
      <c r="G28" s="20">
        <v>0</v>
      </c>
      <c r="H28" s="20">
        <v>0</v>
      </c>
    </row>
    <row r="29" spans="1:8" ht="15.75" customHeight="1" x14ac:dyDescent="0.25">
      <c r="A29" s="18" t="str">
        <v>B28 - Yuan Jenny</v>
      </c>
      <c r="B29" s="19">
        <f>SUMIF(B组循环赛4轮!B:B, A29, B组循环赛4轮!G:G) + SUMIF(B组循环赛4轮!C:C, A29, B组循环赛4轮!G:G) + SUMIF(B组循环赛4轮!D:D, A29, B组循环赛4轮!H:H) + SUMIF(B组循环赛4轮!E:E, A29, B组循环赛4轮!H:H)</f>
        <v>0</v>
      </c>
      <c r="C29" s="20">
        <f>SUMIF(B组循环赛4轮!B:B, A29, B组循环赛4轮!I:I) + SUMIF(B组循环赛4轮!C:C, A29, B组循环赛4轮!I:I) + SUMIF(B组循环赛4轮!D:D, A29, B组循环赛4轮!J:J) + SUMIF(B组循环赛4轮!E:E, A29, B组循环赛4轮!J:J)</f>
        <v>0</v>
      </c>
      <c r="E29" s="21">
        <v>28</v>
      </c>
      <c r="F29" s="21" t="str">
        <v>B28 - Yuan Jenny</v>
      </c>
      <c r="G29" s="20">
        <v>0</v>
      </c>
      <c r="H29" s="20">
        <v>0</v>
      </c>
    </row>
    <row r="30" spans="1:8" ht="15.75" customHeight="1" x14ac:dyDescent="0.25">
      <c r="A30" s="18" t="str">
        <v>B29 - 焦 冬</v>
      </c>
      <c r="B30" s="19">
        <f>SUMIF(B组循环赛4轮!B:B, A30, B组循环赛4轮!G:G) + SUMIF(B组循环赛4轮!C:C, A30, B组循环赛4轮!G:G) + SUMIF(B组循环赛4轮!D:D, A30, B组循环赛4轮!H:H) + SUMIF(B组循环赛4轮!E:E, A30, B组循环赛4轮!H:H)</f>
        <v>0</v>
      </c>
      <c r="C30" s="20">
        <f>SUMIF(B组循环赛4轮!B:B, A30, B组循环赛4轮!I:I) + SUMIF(B组循环赛4轮!C:C, A30, B组循环赛4轮!I:I) + SUMIF(B组循环赛4轮!D:D, A30, B组循环赛4轮!J:J) + SUMIF(B组循环赛4轮!E:E, A30, B组循环赛4轮!J:J)</f>
        <v>0</v>
      </c>
      <c r="E30" s="21">
        <v>29</v>
      </c>
      <c r="F30" s="21" t="str">
        <v>B29 - 焦 冬</v>
      </c>
      <c r="G30" s="20">
        <v>0</v>
      </c>
      <c r="H30" s="20">
        <v>0</v>
      </c>
    </row>
    <row r="31" spans="1:8" ht="15.75" customHeight="1" x14ac:dyDescent="0.25">
      <c r="A31" s="18" t="str">
        <v>B30 - 董 Grace</v>
      </c>
      <c r="B31" s="19">
        <f>SUMIF(B组循环赛4轮!B:B, A31, B组循环赛4轮!G:G) + SUMIF(B组循环赛4轮!C:C, A31, B组循环赛4轮!G:G) + SUMIF(B组循环赛4轮!D:D, A31, B组循环赛4轮!H:H) + SUMIF(B组循环赛4轮!E:E, A31, B组循环赛4轮!H:H)</f>
        <v>0</v>
      </c>
      <c r="C31" s="20">
        <f>SUMIF(B组循环赛4轮!B:B, A31, B组循环赛4轮!I:I) + SUMIF(B组循环赛4轮!C:C, A31, B组循环赛4轮!I:I) + SUMIF(B组循环赛4轮!D:D, A31, B组循环赛4轮!J:J) + SUMIF(B组循环赛4轮!E:E, A31, B组循环赛4轮!J:J)</f>
        <v>0</v>
      </c>
      <c r="E31" s="21">
        <v>30</v>
      </c>
      <c r="F31" s="21" t="str">
        <v>B30 - 董 Grace</v>
      </c>
      <c r="G31" s="20">
        <v>0</v>
      </c>
      <c r="H31" s="20">
        <v>0</v>
      </c>
    </row>
    <row r="32" spans="1:8" ht="15.75" customHeight="1" x14ac:dyDescent="0.25">
      <c r="A32" s="18" t="str">
        <v>B31 - 金 锦</v>
      </c>
      <c r="B32" s="19">
        <f>SUMIF(B组循环赛4轮!B:B, A32, B组循环赛4轮!G:G) + SUMIF(B组循环赛4轮!C:C, A32, B组循环赛4轮!G:G) + SUMIF(B组循环赛4轮!D:D, A32, B组循环赛4轮!H:H) + SUMIF(B组循环赛4轮!E:E, A32, B组循环赛4轮!H:H)</f>
        <v>0</v>
      </c>
      <c r="C32" s="20">
        <f>SUMIF(B组循环赛4轮!B:B, A32, B组循环赛4轮!I:I) + SUMIF(B组循环赛4轮!C:C, A32, B组循环赛4轮!I:I) + SUMIF(B组循环赛4轮!D:D, A32, B组循环赛4轮!J:J) + SUMIF(B组循环赛4轮!E:E, A32, B组循环赛4轮!J:J)</f>
        <v>0</v>
      </c>
      <c r="E32" s="21">
        <v>31</v>
      </c>
      <c r="F32" s="21" t="str">
        <v>B31 - 金 锦</v>
      </c>
      <c r="G32" s="20">
        <v>0</v>
      </c>
      <c r="H32" s="20">
        <v>0</v>
      </c>
    </row>
    <row r="33" spans="1:8" ht="15.75" customHeight="1" x14ac:dyDescent="0.25">
      <c r="A33" s="18" t="str">
        <v>B32 - Wang Mengyi</v>
      </c>
      <c r="B33" s="19">
        <f>SUMIF(B组循环赛4轮!B:B, A33, B组循环赛4轮!G:G) + SUMIF(B组循环赛4轮!C:C, A33, B组循环赛4轮!G:G) + SUMIF(B组循环赛4轮!D:D, A33, B组循环赛4轮!H:H) + SUMIF(B组循环赛4轮!E:E, A33, B组循环赛4轮!H:H)</f>
        <v>0</v>
      </c>
      <c r="C33" s="20">
        <f>SUMIF(B组循环赛4轮!B:B, A33, B组循环赛4轮!I:I) + SUMIF(B组循环赛4轮!C:C, A33, B组循环赛4轮!I:I) + SUMIF(B组循环赛4轮!D:D, A33, B组循环赛4轮!J:J) + SUMIF(B组循环赛4轮!E:E, A33, B组循环赛4轮!J:J)</f>
        <v>0</v>
      </c>
      <c r="E33" s="21">
        <v>32</v>
      </c>
      <c r="F33" s="21" t="str">
        <v>B32 - Wang Mengyi</v>
      </c>
      <c r="G33" s="20">
        <v>0</v>
      </c>
      <c r="H33" s="20">
        <v>0</v>
      </c>
    </row>
    <row r="34" spans="1:8" ht="15.75" customHeight="1" x14ac:dyDescent="0.25">
      <c r="A34" s="18" t="str">
        <v>B33 - 王 桐</v>
      </c>
      <c r="B34" s="19">
        <f>SUMIF(B组循环赛4轮!B:B, A34, B组循环赛4轮!G:G) + SUMIF(B组循环赛4轮!C:C, A34, B组循环赛4轮!G:G) + SUMIF(B组循环赛4轮!D:D, A34, B组循环赛4轮!H:H) + SUMIF(B组循环赛4轮!E:E, A34, B组循环赛4轮!H:H)</f>
        <v>0</v>
      </c>
      <c r="C34" s="20">
        <f>SUMIF(B组循环赛4轮!B:B, A34, B组循环赛4轮!I:I) + SUMIF(B组循环赛4轮!C:C, A34, B组循环赛4轮!I:I) + SUMIF(B组循环赛4轮!D:D, A34, B组循环赛4轮!J:J) + SUMIF(B组循环赛4轮!E:E, A34, B组循环赛4轮!J:J)</f>
        <v>0</v>
      </c>
      <c r="E34" s="21">
        <v>33</v>
      </c>
      <c r="F34" s="21" t="str">
        <v>B33 - 王 桐</v>
      </c>
      <c r="G34" s="20">
        <v>0</v>
      </c>
      <c r="H34" s="20">
        <v>0</v>
      </c>
    </row>
    <row r="35" spans="1:8" ht="15.75" customHeight="1" x14ac:dyDescent="0.25">
      <c r="A35" s="18" t="str">
        <v>B34 - 殷 亚兰</v>
      </c>
      <c r="B35" s="19">
        <f>SUMIF(B组循环赛4轮!B:B, A35, B组循环赛4轮!G:G) + SUMIF(B组循环赛4轮!C:C, A35, B组循环赛4轮!G:G) + SUMIF(B组循环赛4轮!D:D, A35, B组循环赛4轮!H:H) + SUMIF(B组循环赛4轮!E:E, A35, B组循环赛4轮!H:H)</f>
        <v>0</v>
      </c>
      <c r="C35" s="20">
        <f>SUMIF(B组循环赛4轮!B:B, A35, B组循环赛4轮!I:I) + SUMIF(B组循环赛4轮!C:C, A35, B组循环赛4轮!I:I) + SUMIF(B组循环赛4轮!D:D, A35, B组循环赛4轮!J:J) + SUMIF(B组循环赛4轮!E:E, A35, B组循环赛4轮!J:J)</f>
        <v>0</v>
      </c>
      <c r="E35" s="21">
        <v>34</v>
      </c>
      <c r="F35" s="21" t="str">
        <v>B34 - 殷 亚兰</v>
      </c>
      <c r="G35" s="20">
        <v>0</v>
      </c>
      <c r="H35" s="20">
        <v>0</v>
      </c>
    </row>
    <row r="36" spans="1:8" ht="15.75" customHeight="1" x14ac:dyDescent="0.25">
      <c r="A36" s="18" t="str">
        <v>B35 - Rong Robert</v>
      </c>
      <c r="B36" s="19">
        <f>SUMIF(B组循环赛4轮!B:B, A36, B组循环赛4轮!G:G) + SUMIF(B组循环赛4轮!C:C, A36, B组循环赛4轮!G:G) + SUMIF(B组循环赛4轮!D:D, A36, B组循环赛4轮!H:H) + SUMIF(B组循环赛4轮!E:E, A36, B组循环赛4轮!H:H)</f>
        <v>0</v>
      </c>
      <c r="C36" s="20">
        <f>SUMIF(B组循环赛4轮!B:B, A36, B组循环赛4轮!I:I) + SUMIF(B组循环赛4轮!C:C, A36, B组循环赛4轮!I:I) + SUMIF(B组循环赛4轮!D:D, A36, B组循环赛4轮!J:J) + SUMIF(B组循环赛4轮!E:E, A36, B组循环赛4轮!J:J)</f>
        <v>0</v>
      </c>
      <c r="E36" s="21">
        <v>35</v>
      </c>
      <c r="F36" s="21" t="str">
        <v>B35 - Rong Robert</v>
      </c>
      <c r="G36" s="20">
        <v>0</v>
      </c>
      <c r="H36" s="20">
        <v>0</v>
      </c>
    </row>
    <row r="37" spans="1:8" ht="15.75" customHeight="1" x14ac:dyDescent="0.25">
      <c r="A37" s="18" t="str">
        <v>B36 - Song Qingxia</v>
      </c>
      <c r="B37" s="19">
        <f>SUMIF(B组循环赛4轮!B:B, A37, B组循环赛4轮!G:G) + SUMIF(B组循环赛4轮!C:C, A37, B组循环赛4轮!G:G) + SUMIF(B组循环赛4轮!D:D, A37, B组循环赛4轮!H:H) + SUMIF(B组循环赛4轮!E:E, A37, B组循环赛4轮!H:H)</f>
        <v>0</v>
      </c>
      <c r="C37" s="20">
        <f>SUMIF(B组循环赛4轮!B:B, A37, B组循环赛4轮!I:I) + SUMIF(B组循环赛4轮!C:C, A37, B组循环赛4轮!I:I) + SUMIF(B组循环赛4轮!D:D, A37, B组循环赛4轮!J:J) + SUMIF(B组循环赛4轮!E:E, A37, B组循环赛4轮!J:J)</f>
        <v>0</v>
      </c>
      <c r="E37" s="21">
        <v>36</v>
      </c>
      <c r="F37" s="21" t="str">
        <v>B36 - Song Qingxia</v>
      </c>
      <c r="G37" s="20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C21" sqref="C2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2" t="s">
        <v>307</v>
      </c>
      <c r="B1" s="22" t="s">
        <v>174</v>
      </c>
      <c r="C1" s="22" t="s">
        <v>175</v>
      </c>
      <c r="D1" s="23" t="s">
        <v>176</v>
      </c>
      <c r="E1" s="23" t="s">
        <v>182</v>
      </c>
      <c r="F1" s="24" t="s">
        <v>178</v>
      </c>
      <c r="G1" s="24" t="s">
        <v>179</v>
      </c>
      <c r="H1" s="1" t="s">
        <v>127</v>
      </c>
    </row>
    <row r="2" spans="1:8" x14ac:dyDescent="0.2">
      <c r="A2" s="8" t="s">
        <v>308</v>
      </c>
      <c r="B2" s="8" t="str">
        <f t="array" ref="B2">INDEX(B组循环赛总分!F2:F37, MATCH(5, B组循环赛总分!E2:E37, 0))</f>
        <v>B5 - Yuan Stellven</v>
      </c>
      <c r="C2" s="8" t="str">
        <f t="array" ref="C2">INDEX(B组循环赛总分!F2:F37, MATCH(6, B组循环赛总分!E2:E37, 0))</f>
        <v>B6 - 吕 秀华</v>
      </c>
      <c r="D2" s="8" t="str">
        <f t="array" ref="D2">INDEX(B组循环赛总分!F2:F37, MATCH(27, B组循环赛总分!E2:E37, 0))</f>
        <v>B27 - 郭 庆</v>
      </c>
      <c r="E2" s="8" t="str">
        <f t="array" ref="E2">INDEX(B组循环赛总分!F2:F37, MATCH(28, B组循环赛总分!E2:E37, 0))</f>
        <v>B28 - Yuan Jenny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181</v>
      </c>
      <c r="C4" s="22" t="s">
        <v>182</v>
      </c>
      <c r="D4" s="23" t="s">
        <v>183</v>
      </c>
      <c r="E4" s="23" t="s">
        <v>184</v>
      </c>
      <c r="F4" s="24" t="s">
        <v>185</v>
      </c>
      <c r="G4" s="24" t="s">
        <v>186</v>
      </c>
    </row>
    <row r="5" spans="1:8" x14ac:dyDescent="0.2">
      <c r="A5" s="8" t="s">
        <v>309</v>
      </c>
      <c r="B5" s="8" t="str">
        <f t="array" ref="B5">INDEX(B组循环赛总分!F2:F37, MATCH(7, B组循环赛总分!E2:E37, 0))</f>
        <v>B7 - jiang 红柳</v>
      </c>
      <c r="C5" s="8" t="str">
        <f t="array" ref="C5">INDEX(B组循环赛总分!F2:F37, MATCH(8, B组循环赛总分!E2:E37, 0))</f>
        <v>B8 - Liang Jessie</v>
      </c>
      <c r="D5" s="8" t="str">
        <f t="array" ref="D5">INDEX(B组循环赛总分!F2:F37, MATCH(25, B组循环赛总分!E2:E37, 0))</f>
        <v>B25 - Zhan Lixin</v>
      </c>
      <c r="E5" s="8" t="str">
        <f t="array" ref="E5">INDEX(B组循环赛总分!F2:F37, MATCH(26, B组循环赛总分!E2:E37, 0))</f>
        <v>B26 - Mike Nie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188</v>
      </c>
      <c r="C7" s="22" t="s">
        <v>189</v>
      </c>
      <c r="D7" s="23" t="s">
        <v>190</v>
      </c>
      <c r="E7" s="23" t="s">
        <v>191</v>
      </c>
      <c r="F7" s="24" t="s">
        <v>192</v>
      </c>
      <c r="G7" s="24" t="s">
        <v>193</v>
      </c>
    </row>
    <row r="8" spans="1:8" x14ac:dyDescent="0.2">
      <c r="A8" s="8" t="s">
        <v>310</v>
      </c>
      <c r="B8" s="8" t="str">
        <f t="array" ref="B8">INDEX(B组循环赛总分!F2:F37, MATCH(9, B组循环赛总分!E2:E37, 0))</f>
        <v>B9 - Wang Cliff</v>
      </c>
      <c r="C8" s="8" t="str">
        <f t="array" ref="C8">INDEX(B组循环赛总分!F2:F37, MATCH(10, B组循环赛总分!E2:E37, 0))</f>
        <v>B10 - Li Lisa</v>
      </c>
      <c r="D8" s="8" t="str">
        <f t="array" ref="D8">INDEX(B组循环赛总分!F2:F37, MATCH(23, B组循环赛总分!E2:E37, 0))</f>
        <v>B23 - 王 旭</v>
      </c>
      <c r="E8" s="8" t="str">
        <f t="array" ref="E8">INDEX(B组循环赛总分!F2:F37, MATCH(24, B组循环赛总分!E2:E37, 0))</f>
        <v>B24 - Xia Guibai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195</v>
      </c>
      <c r="C10" s="22" t="s">
        <v>196</v>
      </c>
      <c r="D10" s="23" t="s">
        <v>197</v>
      </c>
      <c r="E10" s="23" t="s">
        <v>198</v>
      </c>
      <c r="F10" s="24" t="s">
        <v>199</v>
      </c>
      <c r="G10" s="24" t="s">
        <v>200</v>
      </c>
    </row>
    <row r="11" spans="1:8" x14ac:dyDescent="0.2">
      <c r="A11" s="8" t="s">
        <v>311</v>
      </c>
      <c r="B11" s="8" t="str">
        <f t="array" ref="B11">INDEX(B组循环赛总分!F2:F37, MATCH(11, B组循环赛总分!E2:E37, 0))</f>
        <v>B11 - Lin Linda</v>
      </c>
      <c r="C11" s="8" t="str">
        <f t="array" ref="C11">INDEX(B组循环赛总分!F2:F37, MATCH(12, B组循环赛总分!E2:E37, 0))</f>
        <v>B12 - Gou James</v>
      </c>
      <c r="D11" s="8" t="str">
        <f t="array" ref="D11">INDEX(B组循环赛总分!F2:F37, MATCH(21, B组循环赛总分!E2:E37, 0))</f>
        <v>B21 - Zhao Helen</v>
      </c>
      <c r="E11" s="8" t="str">
        <f t="array" ref="E11">INDEX(B组循环赛总分!F2:F37, MATCH(22, B组循环赛总分!E2:E37, 0))</f>
        <v>B22 - Li Sheng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202</v>
      </c>
      <c r="C13" s="22" t="s">
        <v>203</v>
      </c>
      <c r="D13" s="23" t="s">
        <v>204</v>
      </c>
      <c r="E13" s="23" t="s">
        <v>205</v>
      </c>
      <c r="F13" s="24" t="s">
        <v>206</v>
      </c>
      <c r="G13" s="24" t="s">
        <v>207</v>
      </c>
    </row>
    <row r="14" spans="1:8" x14ac:dyDescent="0.2">
      <c r="A14" s="8" t="s">
        <v>312</v>
      </c>
      <c r="B14" s="8" t="str">
        <f t="array" ref="B14">INDEX(B组循环赛总分!F2:F37, MATCH(13, B组循环赛总分!E2:E37, 0))</f>
        <v>B13 - 陈 海容</v>
      </c>
      <c r="C14" s="8" t="str">
        <f t="array" ref="C14">INDEX(B组循环赛总分!F2:F37, MATCH(14, B组循环赛总分!E2:E37, 0))</f>
        <v>B14 - 李 青</v>
      </c>
      <c r="D14" s="8" t="str">
        <f t="array" ref="D14">INDEX(B组循环赛总分!F2:F37, MATCH(19, B组循环赛总分!E2:E37, 0))</f>
        <v>B19 - Tian Wanting</v>
      </c>
      <c r="E14" s="8" t="str">
        <f t="array" ref="E14">INDEX(B组循环赛总分!F2:F37, MATCH(20, B组循环赛总分!E2:E37, 0))</f>
        <v>B20 - Feng Yaru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209</v>
      </c>
      <c r="C16" s="22" t="s">
        <v>210</v>
      </c>
      <c r="D16" s="23" t="s">
        <v>211</v>
      </c>
      <c r="E16" s="23" t="s">
        <v>212</v>
      </c>
      <c r="F16" s="24" t="s">
        <v>213</v>
      </c>
      <c r="G16" s="24" t="s">
        <v>214</v>
      </c>
    </row>
    <row r="17" spans="1:8" x14ac:dyDescent="0.2">
      <c r="A17" s="8" t="s">
        <v>313</v>
      </c>
      <c r="B17" s="8" t="str">
        <f t="array" ref="B17">INDEX(B组循环赛总分!F2:F37, MATCH(15, B组循环赛总分!E2:E37, 0))</f>
        <v>B15 - 罗 野</v>
      </c>
      <c r="C17" s="8" t="str">
        <f t="array" ref="C17">INDEX(B组循环赛总分!F2:F37, MATCH(16, B组循环赛总分!E2:E37, 0))</f>
        <v>B16 - Guo Sherry</v>
      </c>
      <c r="D17" s="8" t="str">
        <f t="array" ref="D17">INDEX(B组循环赛总分!F2:F37, MATCH(17, B组循环赛总分!E2:E37, 0))</f>
        <v>B17 - 张 圣云</v>
      </c>
      <c r="E17" s="8" t="str">
        <f t="array" ref="E17">INDEX(B组循环赛总分!F2:F37, MATCH(18, B组循环赛总分!E2:E37, 0))</f>
        <v>B18 - 彭 飞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314</v>
      </c>
      <c r="B20" s="25" t="s">
        <v>217</v>
      </c>
      <c r="C20" s="25" t="s">
        <v>218</v>
      </c>
      <c r="D20" s="19" t="s">
        <v>219</v>
      </c>
      <c r="E20" s="19" t="s">
        <v>220</v>
      </c>
      <c r="F20" s="24" t="s">
        <v>128</v>
      </c>
      <c r="G20" s="24" t="s">
        <v>221</v>
      </c>
    </row>
    <row r="21" spans="1:8" x14ac:dyDescent="0.2">
      <c r="A21" s="8" t="s">
        <v>315</v>
      </c>
      <c r="B21" s="8" t="str">
        <f t="array" ref="B21">INDEX(B组循环赛总分!F2:F37, MATCH(1, B组循环赛总分!E2:E37, 0))</f>
        <v>B1 - 张 卫明</v>
      </c>
      <c r="C21" s="8" t="str">
        <f t="array" ref="C21">INDEX(B组循环赛总分!F2:F37, MATCH(2, B组循环赛总分!E2:E37, 0))</f>
        <v>B2 - Lu Dongmei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5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223</v>
      </c>
      <c r="C23" s="25" t="s">
        <v>224</v>
      </c>
      <c r="D23" s="19" t="s">
        <v>225</v>
      </c>
      <c r="E23" s="19" t="s">
        <v>226</v>
      </c>
      <c r="F23" s="24" t="s">
        <v>129</v>
      </c>
      <c r="G23" s="24" t="s">
        <v>227</v>
      </c>
    </row>
    <row r="24" spans="1:8" x14ac:dyDescent="0.2">
      <c r="A24" s="8" t="s">
        <v>316</v>
      </c>
      <c r="B24" s="8" t="str">
        <f t="array" ref="B24">INDEX(B组循环赛总分!F2:F37, MATCH(3, B组循环赛总分!E2:E37, 0))</f>
        <v>B3 - Li Jingyan</v>
      </c>
      <c r="C24" s="8" t="str">
        <f t="array" ref="C24">INDEX(B组循环赛总分!F2:F37, MATCH(4, B组循环赛总分!E2:E37, 0))</f>
        <v>B4 - 张 立诚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6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229</v>
      </c>
      <c r="C26" s="25" t="s">
        <v>230</v>
      </c>
      <c r="D26" s="19" t="s">
        <v>231</v>
      </c>
      <c r="E26" s="19" t="s">
        <v>232</v>
      </c>
      <c r="F26" s="24" t="s">
        <v>233</v>
      </c>
      <c r="G26" s="24" t="s">
        <v>227</v>
      </c>
    </row>
    <row r="27" spans="1:8" x14ac:dyDescent="0.2">
      <c r="A27" s="8" t="s">
        <v>317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1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235</v>
      </c>
      <c r="C29" s="25" t="s">
        <v>236</v>
      </c>
      <c r="D29" s="19" t="s">
        <v>237</v>
      </c>
      <c r="E29" s="19" t="s">
        <v>238</v>
      </c>
      <c r="F29" s="24" t="s">
        <v>239</v>
      </c>
      <c r="G29" s="24" t="s">
        <v>240</v>
      </c>
    </row>
    <row r="30" spans="1:8" x14ac:dyDescent="0.2">
      <c r="A30" s="8" t="s">
        <v>318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2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319</v>
      </c>
      <c r="B33" s="19" t="s">
        <v>243</v>
      </c>
      <c r="C33" s="19" t="s">
        <v>244</v>
      </c>
      <c r="D33" s="27" t="s">
        <v>245</v>
      </c>
      <c r="E33" s="27" t="s">
        <v>246</v>
      </c>
      <c r="F33" s="24" t="s">
        <v>247</v>
      </c>
      <c r="G33" s="24" t="s">
        <v>248</v>
      </c>
    </row>
    <row r="34" spans="1:8" x14ac:dyDescent="0.2">
      <c r="A34" s="8" t="s">
        <v>320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5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250</v>
      </c>
      <c r="C36" s="19" t="s">
        <v>251</v>
      </c>
      <c r="D36" s="27" t="s">
        <v>252</v>
      </c>
      <c r="E36" s="27" t="s">
        <v>253</v>
      </c>
      <c r="F36" s="24" t="s">
        <v>254</v>
      </c>
      <c r="G36" s="24" t="s">
        <v>255</v>
      </c>
    </row>
    <row r="37" spans="1:8" x14ac:dyDescent="0.2">
      <c r="A37" s="8" t="s">
        <v>321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6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30" t="s">
        <v>322</v>
      </c>
      <c r="B40" s="30" t="s">
        <v>258</v>
      </c>
      <c r="C40" s="30" t="s">
        <v>258</v>
      </c>
      <c r="D40" s="30" t="s">
        <v>259</v>
      </c>
      <c r="E40" s="30" t="s">
        <v>259</v>
      </c>
      <c r="F40" s="31" t="s">
        <v>260</v>
      </c>
      <c r="G40" s="31" t="s">
        <v>261</v>
      </c>
    </row>
    <row r="41" spans="1:8" x14ac:dyDescent="0.2">
      <c r="A41" s="32" t="s">
        <v>323</v>
      </c>
      <c r="B41" s="32" t="str">
        <f>IF(F34 &gt; G34, D34, IF(F34 &lt; G34, B34, ""))</f>
        <v/>
      </c>
      <c r="C41" s="32" t="str">
        <f>IF(F34 &gt; G34, E34, IF(F34 &lt; G34, C34, ""))</f>
        <v/>
      </c>
      <c r="D41" s="32" t="str">
        <f>IF(F37 &gt; G37, D37, IF(F37 &lt; G37, B37, ""))</f>
        <v/>
      </c>
      <c r="E41" s="32" t="str">
        <f>IF(F37 &gt; G37, E37, IF(F37 &lt; G37, C37, ""))</f>
        <v/>
      </c>
      <c r="F41" s="31"/>
      <c r="G41" s="31"/>
    </row>
    <row r="42" spans="1:8" x14ac:dyDescent="0.2">
      <c r="F42" s="15"/>
      <c r="G42" s="15"/>
    </row>
    <row r="43" spans="1:8" x14ac:dyDescent="0.2">
      <c r="A43" s="28" t="s">
        <v>324</v>
      </c>
      <c r="B43" s="28" t="s">
        <v>264</v>
      </c>
      <c r="C43" s="28" t="s">
        <v>265</v>
      </c>
      <c r="D43" s="28" t="s">
        <v>266</v>
      </c>
      <c r="E43" s="28" t="s">
        <v>267</v>
      </c>
      <c r="F43" s="24" t="s">
        <v>268</v>
      </c>
      <c r="G43" s="24" t="s">
        <v>269</v>
      </c>
    </row>
    <row r="44" spans="1:8" x14ac:dyDescent="0.2">
      <c r="A44" s="8" t="s">
        <v>325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  <row r="45" spans="1:8" x14ac:dyDescent="0.2">
      <c r="F45" s="15"/>
      <c r="G45" s="15"/>
    </row>
    <row r="46" spans="1:8" x14ac:dyDescent="0.2">
      <c r="F46" s="15"/>
      <c r="G46" s="15"/>
    </row>
    <row r="47" spans="1:8" x14ac:dyDescent="0.2">
      <c r="F47" s="15"/>
      <c r="G47" s="15"/>
    </row>
    <row r="48" spans="1:8" x14ac:dyDescent="0.2">
      <c r="F48" s="15"/>
      <c r="G48" s="15"/>
    </row>
    <row r="49" spans="6:7" x14ac:dyDescent="0.2">
      <c r="F49" s="15"/>
      <c r="G49" s="15"/>
    </row>
    <row r="50" spans="6:7" x14ac:dyDescent="0.2">
      <c r="F50" s="15"/>
      <c r="G50" s="15"/>
    </row>
    <row r="51" spans="6:7" x14ac:dyDescent="0.2">
      <c r="F51" s="15"/>
      <c r="G51" s="15"/>
    </row>
    <row r="52" spans="6:7" x14ac:dyDescent="0.2">
      <c r="F52" s="15"/>
      <c r="G52" s="15"/>
    </row>
    <row r="53" spans="6:7" x14ac:dyDescent="0.2">
      <c r="F53" s="15"/>
      <c r="G53" s="15"/>
    </row>
    <row r="54" spans="6:7" x14ac:dyDescent="0.2">
      <c r="F54" s="15"/>
      <c r="G54" s="15"/>
    </row>
    <row r="55" spans="6:7" x14ac:dyDescent="0.2">
      <c r="F55" s="15"/>
      <c r="G55" s="15"/>
    </row>
    <row r="56" spans="6:7" x14ac:dyDescent="0.2">
      <c r="F56" s="15"/>
      <c r="G56" s="15"/>
    </row>
    <row r="57" spans="6:7" x14ac:dyDescent="0.2">
      <c r="F57" s="15"/>
      <c r="G57" s="15"/>
    </row>
    <row r="58" spans="6:7" x14ac:dyDescent="0.2">
      <c r="F58" s="15"/>
      <c r="G58" s="15"/>
    </row>
    <row r="59" spans="6:7" x14ac:dyDescent="0.2">
      <c r="F59" s="15"/>
      <c r="G59" s="15"/>
    </row>
    <row r="60" spans="6:7" x14ac:dyDescent="0.2">
      <c r="F60" s="15"/>
      <c r="G60" s="15"/>
    </row>
    <row r="61" spans="6:7" x14ac:dyDescent="0.2">
      <c r="F61" s="15"/>
      <c r="G61" s="15"/>
    </row>
    <row r="62" spans="6:7" x14ac:dyDescent="0.2">
      <c r="F62" s="15"/>
      <c r="G62" s="15"/>
    </row>
    <row r="63" spans="6:7" x14ac:dyDescent="0.2">
      <c r="F63" s="15"/>
      <c r="G63" s="15"/>
    </row>
    <row r="64" spans="6:7" x14ac:dyDescent="0.2">
      <c r="F64" s="15"/>
      <c r="G64" s="15"/>
    </row>
    <row r="65" spans="6:7" x14ac:dyDescent="0.2">
      <c r="F65" s="15"/>
      <c r="G65" s="15"/>
    </row>
    <row r="66" spans="6:7" x14ac:dyDescent="0.2">
      <c r="F66" s="15"/>
      <c r="G66" s="15"/>
    </row>
    <row r="67" spans="6:7" x14ac:dyDescent="0.2">
      <c r="F67" s="15"/>
      <c r="G67" s="15"/>
    </row>
    <row r="68" spans="6:7" x14ac:dyDescent="0.2">
      <c r="F68" s="15"/>
      <c r="G68" s="15"/>
    </row>
    <row r="69" spans="6:7" x14ac:dyDescent="0.2">
      <c r="F69" s="15"/>
      <c r="G69" s="15"/>
    </row>
    <row r="70" spans="6:7" x14ac:dyDescent="0.2">
      <c r="F70" s="15"/>
      <c r="G70" s="15"/>
    </row>
    <row r="71" spans="6:7" x14ac:dyDescent="0.2">
      <c r="F71" s="15"/>
      <c r="G71" s="15"/>
    </row>
    <row r="72" spans="6:7" x14ac:dyDescent="0.2">
      <c r="F72" s="15"/>
      <c r="G72" s="15"/>
    </row>
    <row r="73" spans="6:7" x14ac:dyDescent="0.2">
      <c r="F73" s="15"/>
      <c r="G73" s="15"/>
    </row>
    <row r="74" spans="6:7" x14ac:dyDescent="0.2">
      <c r="F74" s="15"/>
      <c r="G74" s="15"/>
    </row>
    <row r="75" spans="6:7" x14ac:dyDescent="0.2">
      <c r="F75" s="15"/>
      <c r="G75" s="15"/>
    </row>
    <row r="76" spans="6:7" x14ac:dyDescent="0.2">
      <c r="F76" s="15"/>
      <c r="G76" s="15"/>
    </row>
    <row r="77" spans="6:7" x14ac:dyDescent="0.2">
      <c r="F77" s="15"/>
      <c r="G77" s="15"/>
    </row>
    <row r="78" spans="6:7" x14ac:dyDescent="0.2">
      <c r="F78" s="15"/>
      <c r="G78" s="15"/>
    </row>
    <row r="79" spans="6:7" x14ac:dyDescent="0.2">
      <c r="F79" s="15"/>
      <c r="G79" s="15"/>
    </row>
    <row r="80" spans="6:7" x14ac:dyDescent="0.2">
      <c r="F80" s="15"/>
      <c r="G80" s="15"/>
    </row>
    <row r="81" spans="6:7" x14ac:dyDescent="0.2">
      <c r="F81" s="15"/>
      <c r="G81" s="15"/>
    </row>
    <row r="82" spans="6:7" x14ac:dyDescent="0.2">
      <c r="F82" s="15"/>
      <c r="G82" s="15"/>
    </row>
    <row r="83" spans="6:7" x14ac:dyDescent="0.2">
      <c r="F83" s="15"/>
      <c r="G83" s="15"/>
    </row>
    <row r="84" spans="6:7" x14ac:dyDescent="0.2">
      <c r="F84" s="15"/>
      <c r="G84" s="15"/>
    </row>
    <row r="85" spans="6:7" x14ac:dyDescent="0.2">
      <c r="F85" s="15"/>
      <c r="G85" s="15"/>
    </row>
    <row r="86" spans="6:7" x14ac:dyDescent="0.2">
      <c r="F86" s="15"/>
      <c r="G86" s="15"/>
    </row>
    <row r="87" spans="6:7" x14ac:dyDescent="0.2">
      <c r="F87" s="15"/>
      <c r="G87" s="15"/>
    </row>
    <row r="88" spans="6:7" x14ac:dyDescent="0.2">
      <c r="F88" s="15"/>
      <c r="G88" s="15"/>
    </row>
    <row r="89" spans="6:7" x14ac:dyDescent="0.2">
      <c r="F89" s="15"/>
      <c r="G89" s="15"/>
    </row>
    <row r="90" spans="6:7" x14ac:dyDescent="0.2">
      <c r="F90" s="15"/>
      <c r="G90" s="15"/>
    </row>
    <row r="91" spans="6:7" x14ac:dyDescent="0.2">
      <c r="F91" s="15"/>
      <c r="G91" s="15"/>
    </row>
    <row r="92" spans="6:7" x14ac:dyDescent="0.2">
      <c r="F92" s="15"/>
      <c r="G92" s="15"/>
    </row>
    <row r="93" spans="6:7" x14ac:dyDescent="0.2">
      <c r="F93" s="15"/>
      <c r="G93" s="15"/>
    </row>
    <row r="94" spans="6:7" x14ac:dyDescent="0.2">
      <c r="F94" s="15"/>
      <c r="G94" s="15"/>
    </row>
    <row r="95" spans="6:7" x14ac:dyDescent="0.2">
      <c r="F95" s="15"/>
      <c r="G95" s="15"/>
    </row>
    <row r="96" spans="6:7" x14ac:dyDescent="0.2">
      <c r="F96" s="15"/>
      <c r="G96" s="15"/>
    </row>
    <row r="97" spans="6:7" x14ac:dyDescent="0.2">
      <c r="F97" s="15"/>
      <c r="G97" s="15"/>
    </row>
    <row r="98" spans="6:7" x14ac:dyDescent="0.2">
      <c r="F98" s="15"/>
      <c r="G98" s="15"/>
    </row>
    <row r="99" spans="6:7" x14ac:dyDescent="0.2">
      <c r="F99" s="15"/>
      <c r="G99" s="15"/>
    </row>
    <row r="100" spans="6:7" x14ac:dyDescent="0.2">
      <c r="F100" s="15"/>
      <c r="G100" s="15"/>
    </row>
    <row r="101" spans="6:7" x14ac:dyDescent="0.2">
      <c r="F101" s="15"/>
      <c r="G101" s="15"/>
    </row>
    <row r="102" spans="6:7" x14ac:dyDescent="0.2">
      <c r="F102" s="15"/>
      <c r="G102" s="15"/>
    </row>
    <row r="103" spans="6:7" x14ac:dyDescent="0.2">
      <c r="F103" s="15"/>
      <c r="G103" s="15"/>
    </row>
    <row r="104" spans="6:7" x14ac:dyDescent="0.2">
      <c r="F104" s="15"/>
      <c r="G104" s="15"/>
    </row>
    <row r="105" spans="6:7" x14ac:dyDescent="0.2">
      <c r="F105" s="15"/>
      <c r="G105" s="15"/>
    </row>
    <row r="106" spans="6:7" x14ac:dyDescent="0.2">
      <c r="F106" s="15"/>
      <c r="G106" s="15"/>
    </row>
    <row r="107" spans="6:7" x14ac:dyDescent="0.2">
      <c r="F107" s="15"/>
      <c r="G107" s="15"/>
    </row>
    <row r="108" spans="6:7" x14ac:dyDescent="0.2">
      <c r="F108" s="15"/>
      <c r="G108" s="15"/>
    </row>
    <row r="109" spans="6:7" x14ac:dyDescent="0.2">
      <c r="F109" s="15"/>
      <c r="G109" s="15"/>
    </row>
    <row r="110" spans="6:7" x14ac:dyDescent="0.2">
      <c r="F110" s="15"/>
      <c r="G110" s="15"/>
    </row>
    <row r="111" spans="6:7" x14ac:dyDescent="0.2">
      <c r="F111" s="15"/>
      <c r="G111" s="15"/>
    </row>
    <row r="112" spans="6:7" x14ac:dyDescent="0.2">
      <c r="F112" s="15"/>
      <c r="G112" s="15"/>
    </row>
    <row r="113" spans="6:7" x14ac:dyDescent="0.2">
      <c r="F113" s="15"/>
      <c r="G113" s="15"/>
    </row>
    <row r="114" spans="6:7" x14ac:dyDescent="0.2">
      <c r="F114" s="15"/>
      <c r="G114" s="15"/>
    </row>
    <row r="115" spans="6:7" x14ac:dyDescent="0.2">
      <c r="F115" s="15"/>
      <c r="G115" s="15"/>
    </row>
    <row r="116" spans="6:7" x14ac:dyDescent="0.2">
      <c r="F116" s="15"/>
      <c r="G116" s="15"/>
    </row>
    <row r="117" spans="6:7" x14ac:dyDescent="0.2">
      <c r="F117" s="15"/>
      <c r="G117" s="15"/>
    </row>
    <row r="118" spans="6:7" x14ac:dyDescent="0.2">
      <c r="F118" s="15"/>
      <c r="G118" s="15"/>
    </row>
    <row r="119" spans="6:7" x14ac:dyDescent="0.2">
      <c r="F119" s="15"/>
      <c r="G119" s="15"/>
    </row>
    <row r="120" spans="6:7" x14ac:dyDescent="0.2">
      <c r="F120" s="15"/>
      <c r="G120" s="15"/>
    </row>
    <row r="121" spans="6:7" x14ac:dyDescent="0.2">
      <c r="F121" s="15"/>
      <c r="G121" s="15"/>
    </row>
    <row r="122" spans="6:7" x14ac:dyDescent="0.2">
      <c r="F122" s="15"/>
      <c r="G122" s="15"/>
    </row>
    <row r="123" spans="6:7" x14ac:dyDescent="0.2">
      <c r="F123" s="15"/>
      <c r="G123" s="15"/>
    </row>
    <row r="124" spans="6:7" x14ac:dyDescent="0.2">
      <c r="F124" s="15"/>
      <c r="G124" s="15"/>
    </row>
    <row r="125" spans="6:7" x14ac:dyDescent="0.2">
      <c r="F125" s="15"/>
      <c r="G125" s="15"/>
    </row>
    <row r="126" spans="6:7" x14ac:dyDescent="0.2">
      <c r="F126" s="15"/>
      <c r="G126" s="15"/>
    </row>
    <row r="127" spans="6:7" x14ac:dyDescent="0.2">
      <c r="F127" s="15"/>
      <c r="G127" s="15"/>
    </row>
    <row r="128" spans="6:7" x14ac:dyDescent="0.2">
      <c r="F128" s="15"/>
      <c r="G128" s="15"/>
    </row>
    <row r="129" spans="6:7" x14ac:dyDescent="0.2">
      <c r="F129" s="15"/>
      <c r="G129" s="15"/>
    </row>
    <row r="130" spans="6:7" x14ac:dyDescent="0.2">
      <c r="F130" s="15"/>
      <c r="G130" s="15"/>
    </row>
    <row r="131" spans="6:7" x14ac:dyDescent="0.2">
      <c r="F131" s="15"/>
      <c r="G131" s="15"/>
    </row>
    <row r="132" spans="6:7" x14ac:dyDescent="0.2">
      <c r="F132" s="15"/>
      <c r="G132" s="15"/>
    </row>
    <row r="133" spans="6:7" x14ac:dyDescent="0.2">
      <c r="F133" s="15"/>
      <c r="G133" s="15"/>
    </row>
    <row r="134" spans="6:7" x14ac:dyDescent="0.2">
      <c r="F134" s="15"/>
      <c r="G134" s="15"/>
    </row>
    <row r="135" spans="6:7" x14ac:dyDescent="0.2">
      <c r="F135" s="15"/>
      <c r="G135" s="15"/>
    </row>
    <row r="136" spans="6:7" x14ac:dyDescent="0.2">
      <c r="F136" s="15"/>
      <c r="G136" s="15"/>
    </row>
    <row r="137" spans="6:7" x14ac:dyDescent="0.2">
      <c r="F137" s="15"/>
      <c r="G137" s="15"/>
    </row>
    <row r="138" spans="6:7" x14ac:dyDescent="0.2">
      <c r="F138" s="15"/>
      <c r="G138" s="15"/>
    </row>
    <row r="139" spans="6:7" x14ac:dyDescent="0.2">
      <c r="F139" s="15"/>
      <c r="G139" s="15"/>
    </row>
    <row r="140" spans="6:7" x14ac:dyDescent="0.2">
      <c r="F140" s="15"/>
      <c r="G140" s="15"/>
    </row>
    <row r="141" spans="6:7" x14ac:dyDescent="0.2">
      <c r="F141" s="15"/>
      <c r="G141" s="15"/>
    </row>
    <row r="142" spans="6:7" x14ac:dyDescent="0.2">
      <c r="F142" s="15"/>
      <c r="G142" s="15"/>
    </row>
    <row r="143" spans="6:7" x14ac:dyDescent="0.2">
      <c r="F143" s="15"/>
      <c r="G143" s="15"/>
    </row>
    <row r="144" spans="6:7" x14ac:dyDescent="0.2">
      <c r="F144" s="15"/>
      <c r="G144" s="15"/>
    </row>
    <row r="145" spans="6:7" x14ac:dyDescent="0.2">
      <c r="F145" s="15"/>
      <c r="G145" s="15"/>
    </row>
    <row r="146" spans="6:7" x14ac:dyDescent="0.2">
      <c r="F146" s="15"/>
      <c r="G146" s="15"/>
    </row>
    <row r="147" spans="6:7" x14ac:dyDescent="0.2">
      <c r="F147" s="15"/>
      <c r="G147" s="15"/>
    </row>
    <row r="148" spans="6:7" x14ac:dyDescent="0.2">
      <c r="F148" s="15"/>
      <c r="G148" s="15"/>
    </row>
    <row r="149" spans="6:7" x14ac:dyDescent="0.2">
      <c r="F149" s="15"/>
      <c r="G149" s="15"/>
    </row>
    <row r="150" spans="6:7" x14ac:dyDescent="0.2">
      <c r="F150" s="15"/>
      <c r="G150" s="15"/>
    </row>
    <row r="151" spans="6:7" x14ac:dyDescent="0.2">
      <c r="F151" s="15"/>
      <c r="G151" s="15"/>
    </row>
    <row r="152" spans="6:7" x14ac:dyDescent="0.2">
      <c r="F152" s="15"/>
      <c r="G152" s="15"/>
    </row>
    <row r="153" spans="6:7" x14ac:dyDescent="0.2">
      <c r="F153" s="15"/>
      <c r="G153" s="15"/>
    </row>
    <row r="154" spans="6:7" x14ac:dyDescent="0.2">
      <c r="F154" s="15"/>
      <c r="G154" s="15"/>
    </row>
    <row r="155" spans="6:7" x14ac:dyDescent="0.2">
      <c r="F155" s="15"/>
      <c r="G155" s="15"/>
    </row>
    <row r="156" spans="6:7" x14ac:dyDescent="0.2">
      <c r="F156" s="15"/>
      <c r="G156" s="15"/>
    </row>
    <row r="157" spans="6:7" x14ac:dyDescent="0.2">
      <c r="F157" s="15"/>
      <c r="G157" s="15"/>
    </row>
    <row r="158" spans="6:7" x14ac:dyDescent="0.2">
      <c r="F158" s="15"/>
      <c r="G158" s="15"/>
    </row>
    <row r="159" spans="6:7" x14ac:dyDescent="0.2">
      <c r="F159" s="15"/>
      <c r="G159" s="15"/>
    </row>
    <row r="160" spans="6:7" x14ac:dyDescent="0.2">
      <c r="F160" s="15"/>
      <c r="G160" s="15"/>
    </row>
    <row r="161" spans="6:7" x14ac:dyDescent="0.2">
      <c r="F161" s="15"/>
      <c r="G161" s="15"/>
    </row>
    <row r="162" spans="6:7" x14ac:dyDescent="0.2">
      <c r="F162" s="15"/>
      <c r="G162" s="15"/>
    </row>
    <row r="163" spans="6:7" x14ac:dyDescent="0.2">
      <c r="F163" s="15"/>
      <c r="G163" s="15"/>
    </row>
    <row r="164" spans="6:7" x14ac:dyDescent="0.2">
      <c r="F164" s="15"/>
      <c r="G164" s="15"/>
    </row>
    <row r="165" spans="6:7" x14ac:dyDescent="0.2">
      <c r="F165" s="15"/>
      <c r="G165" s="15"/>
    </row>
    <row r="166" spans="6:7" x14ac:dyDescent="0.2">
      <c r="F166" s="15"/>
      <c r="G166" s="15"/>
    </row>
    <row r="167" spans="6:7" x14ac:dyDescent="0.2">
      <c r="F167" s="15"/>
      <c r="G167" s="15"/>
    </row>
    <row r="168" spans="6:7" x14ac:dyDescent="0.2">
      <c r="F168" s="15"/>
      <c r="G168" s="15"/>
    </row>
    <row r="169" spans="6:7" x14ac:dyDescent="0.2">
      <c r="F169" s="15"/>
      <c r="G169" s="15"/>
    </row>
    <row r="170" spans="6:7" x14ac:dyDescent="0.2">
      <c r="F170" s="15"/>
      <c r="G170" s="15"/>
    </row>
    <row r="171" spans="6:7" x14ac:dyDescent="0.2">
      <c r="F171" s="15"/>
      <c r="G171" s="15"/>
    </row>
    <row r="172" spans="6:7" x14ac:dyDescent="0.2">
      <c r="F172" s="15"/>
      <c r="G172" s="15"/>
    </row>
    <row r="173" spans="6:7" x14ac:dyDescent="0.2">
      <c r="F173" s="15"/>
      <c r="G173" s="15"/>
    </row>
    <row r="174" spans="6:7" x14ac:dyDescent="0.2">
      <c r="F174" s="15"/>
      <c r="G174" s="15"/>
    </row>
    <row r="175" spans="6:7" x14ac:dyDescent="0.2">
      <c r="F175" s="15"/>
      <c r="G175" s="15"/>
    </row>
    <row r="176" spans="6:7" x14ac:dyDescent="0.2">
      <c r="F176" s="15"/>
      <c r="G176" s="15"/>
    </row>
    <row r="177" spans="6:7" x14ac:dyDescent="0.2">
      <c r="F177" s="15"/>
      <c r="G177" s="15"/>
    </row>
    <row r="178" spans="6:7" x14ac:dyDescent="0.2">
      <c r="F178" s="15"/>
      <c r="G178" s="15"/>
    </row>
    <row r="179" spans="6:7" x14ac:dyDescent="0.2">
      <c r="F179" s="15"/>
      <c r="G179" s="15"/>
    </row>
    <row r="180" spans="6:7" x14ac:dyDescent="0.2">
      <c r="F180" s="15"/>
      <c r="G180" s="15"/>
    </row>
    <row r="181" spans="6:7" x14ac:dyDescent="0.2">
      <c r="F181" s="15"/>
      <c r="G181" s="15"/>
    </row>
    <row r="182" spans="6:7" x14ac:dyDescent="0.2">
      <c r="F182" s="15"/>
      <c r="G182" s="15"/>
    </row>
    <row r="183" spans="6:7" x14ac:dyDescent="0.2">
      <c r="F183" s="15"/>
      <c r="G183" s="15"/>
    </row>
    <row r="184" spans="6:7" x14ac:dyDescent="0.2">
      <c r="F184" s="15"/>
      <c r="G184" s="15"/>
    </row>
    <row r="185" spans="6:7" x14ac:dyDescent="0.2">
      <c r="F185" s="15"/>
      <c r="G185" s="15"/>
    </row>
    <row r="186" spans="6:7" x14ac:dyDescent="0.2">
      <c r="F186" s="15"/>
      <c r="G186" s="15"/>
    </row>
    <row r="187" spans="6:7" x14ac:dyDescent="0.2">
      <c r="F187" s="15"/>
      <c r="G187" s="15"/>
    </row>
    <row r="188" spans="6:7" x14ac:dyDescent="0.2">
      <c r="F188" s="15"/>
      <c r="G188" s="15"/>
    </row>
    <row r="189" spans="6:7" x14ac:dyDescent="0.2">
      <c r="F189" s="15"/>
      <c r="G189" s="15"/>
    </row>
    <row r="190" spans="6:7" x14ac:dyDescent="0.2">
      <c r="F190" s="15"/>
      <c r="G190" s="15"/>
    </row>
    <row r="191" spans="6:7" x14ac:dyDescent="0.2">
      <c r="F191" s="15"/>
      <c r="G191" s="15"/>
    </row>
    <row r="192" spans="6:7" x14ac:dyDescent="0.2">
      <c r="F192" s="15"/>
      <c r="G192" s="15"/>
    </row>
    <row r="193" spans="6:7" x14ac:dyDescent="0.2">
      <c r="F193" s="15"/>
      <c r="G193" s="15"/>
    </row>
    <row r="194" spans="6:7" x14ac:dyDescent="0.2">
      <c r="F194" s="15"/>
      <c r="G194" s="15"/>
    </row>
    <row r="195" spans="6:7" x14ac:dyDescent="0.2">
      <c r="F195" s="15"/>
      <c r="G195" s="15"/>
    </row>
    <row r="196" spans="6:7" x14ac:dyDescent="0.2">
      <c r="F196" s="15"/>
      <c r="G196" s="15"/>
    </row>
    <row r="197" spans="6:7" x14ac:dyDescent="0.2">
      <c r="F197" s="15"/>
      <c r="G197" s="15"/>
    </row>
    <row r="198" spans="6:7" x14ac:dyDescent="0.2">
      <c r="F198" s="15"/>
      <c r="G198" s="15"/>
    </row>
    <row r="199" spans="6:7" x14ac:dyDescent="0.2">
      <c r="F199" s="15"/>
      <c r="G199" s="15"/>
    </row>
    <row r="200" spans="6:7" x14ac:dyDescent="0.2">
      <c r="F200" s="15"/>
      <c r="G200" s="15"/>
    </row>
    <row r="201" spans="6:7" x14ac:dyDescent="0.2">
      <c r="F201" s="15"/>
      <c r="G201" s="15"/>
    </row>
    <row r="202" spans="6:7" x14ac:dyDescent="0.2">
      <c r="F202" s="15"/>
      <c r="G202" s="15"/>
    </row>
    <row r="203" spans="6:7" x14ac:dyDescent="0.2">
      <c r="F203" s="15"/>
      <c r="G203" s="15"/>
    </row>
    <row r="204" spans="6:7" x14ac:dyDescent="0.2">
      <c r="F204" s="15"/>
      <c r="G204" s="15"/>
    </row>
    <row r="205" spans="6:7" x14ac:dyDescent="0.2">
      <c r="F205" s="15"/>
      <c r="G205" s="15"/>
    </row>
    <row r="206" spans="6:7" x14ac:dyDescent="0.2">
      <c r="F206" s="15"/>
      <c r="G206" s="15"/>
    </row>
    <row r="207" spans="6:7" x14ac:dyDescent="0.2">
      <c r="F207" s="15"/>
      <c r="G207" s="15"/>
    </row>
    <row r="208" spans="6:7" x14ac:dyDescent="0.2">
      <c r="F208" s="15"/>
      <c r="G208" s="15"/>
    </row>
    <row r="209" spans="6:7" x14ac:dyDescent="0.2">
      <c r="F209" s="15"/>
      <c r="G209" s="15"/>
    </row>
    <row r="210" spans="6:7" x14ac:dyDescent="0.2">
      <c r="F210" s="15"/>
      <c r="G210" s="15"/>
    </row>
    <row r="211" spans="6:7" x14ac:dyDescent="0.2">
      <c r="F211" s="15"/>
      <c r="G211" s="15"/>
    </row>
    <row r="212" spans="6:7" x14ac:dyDescent="0.2">
      <c r="F212" s="15"/>
      <c r="G212" s="15"/>
    </row>
    <row r="213" spans="6:7" x14ac:dyDescent="0.2">
      <c r="F213" s="15"/>
      <c r="G213" s="15"/>
    </row>
    <row r="214" spans="6:7" x14ac:dyDescent="0.2">
      <c r="F214" s="15"/>
      <c r="G214" s="15"/>
    </row>
    <row r="215" spans="6:7" x14ac:dyDescent="0.2">
      <c r="F215" s="15"/>
      <c r="G215" s="15"/>
    </row>
    <row r="216" spans="6:7" x14ac:dyDescent="0.2">
      <c r="F216" s="15"/>
      <c r="G216" s="15"/>
    </row>
    <row r="217" spans="6:7" x14ac:dyDescent="0.2">
      <c r="F217" s="15"/>
      <c r="G217" s="15"/>
    </row>
    <row r="218" spans="6:7" x14ac:dyDescent="0.2">
      <c r="F218" s="15"/>
      <c r="G218" s="15"/>
    </row>
    <row r="219" spans="6:7" x14ac:dyDescent="0.2">
      <c r="F219" s="15"/>
      <c r="G219" s="15"/>
    </row>
    <row r="220" spans="6:7" x14ac:dyDescent="0.2">
      <c r="F220" s="15"/>
      <c r="G220" s="15"/>
    </row>
    <row r="221" spans="6:7" x14ac:dyDescent="0.2">
      <c r="F221" s="15"/>
      <c r="G221" s="15"/>
    </row>
    <row r="222" spans="6:7" x14ac:dyDescent="0.2">
      <c r="F222" s="15"/>
      <c r="G222" s="15"/>
    </row>
    <row r="223" spans="6:7" x14ac:dyDescent="0.2">
      <c r="F223" s="15"/>
      <c r="G223" s="15"/>
    </row>
    <row r="224" spans="6:7" x14ac:dyDescent="0.2">
      <c r="F224" s="15"/>
      <c r="G224" s="15"/>
    </row>
    <row r="225" spans="6:7" x14ac:dyDescent="0.2">
      <c r="F225" s="15"/>
      <c r="G225" s="15"/>
    </row>
    <row r="226" spans="6:7" x14ac:dyDescent="0.2">
      <c r="F226" s="15"/>
      <c r="G226" s="15"/>
    </row>
    <row r="227" spans="6:7" x14ac:dyDescent="0.2">
      <c r="F227" s="15"/>
      <c r="G227" s="15"/>
    </row>
    <row r="228" spans="6:7" x14ac:dyDescent="0.2">
      <c r="F228" s="15"/>
      <c r="G228" s="15"/>
    </row>
    <row r="229" spans="6:7" x14ac:dyDescent="0.2">
      <c r="F229" s="15"/>
      <c r="G229" s="15"/>
    </row>
    <row r="230" spans="6:7" x14ac:dyDescent="0.2">
      <c r="F230" s="15"/>
      <c r="G230" s="15"/>
    </row>
    <row r="231" spans="6:7" x14ac:dyDescent="0.2">
      <c r="F231" s="15"/>
      <c r="G231" s="15"/>
    </row>
    <row r="232" spans="6:7" x14ac:dyDescent="0.2">
      <c r="F232" s="15"/>
      <c r="G232" s="15"/>
    </row>
    <row r="233" spans="6:7" x14ac:dyDescent="0.2">
      <c r="F233" s="15"/>
      <c r="G233" s="15"/>
    </row>
    <row r="234" spans="6:7" x14ac:dyDescent="0.2">
      <c r="F234" s="15"/>
      <c r="G234" s="15"/>
    </row>
    <row r="235" spans="6:7" x14ac:dyDescent="0.2">
      <c r="F235" s="15"/>
      <c r="G235" s="15"/>
    </row>
    <row r="236" spans="6:7" x14ac:dyDescent="0.2">
      <c r="F236" s="15"/>
      <c r="G236" s="15"/>
    </row>
    <row r="237" spans="6:7" x14ac:dyDescent="0.2">
      <c r="F237" s="15"/>
      <c r="G237" s="15"/>
    </row>
    <row r="238" spans="6:7" x14ac:dyDescent="0.2">
      <c r="F238" s="15"/>
      <c r="G238" s="15"/>
    </row>
    <row r="239" spans="6:7" x14ac:dyDescent="0.2">
      <c r="F239" s="15"/>
      <c r="G239" s="15"/>
    </row>
    <row r="240" spans="6:7" x14ac:dyDescent="0.2">
      <c r="F240" s="15"/>
      <c r="G240" s="15"/>
    </row>
    <row r="241" spans="6:7" x14ac:dyDescent="0.2">
      <c r="F241" s="15"/>
      <c r="G241" s="15"/>
    </row>
    <row r="242" spans="6:7" x14ac:dyDescent="0.2">
      <c r="F242" s="15"/>
      <c r="G242" s="15"/>
    </row>
    <row r="243" spans="6:7" x14ac:dyDescent="0.2">
      <c r="F243" s="15"/>
      <c r="G243" s="15"/>
    </row>
    <row r="244" spans="6:7" x14ac:dyDescent="0.2">
      <c r="F244" s="15"/>
      <c r="G244" s="15"/>
    </row>
    <row r="245" spans="6:7" x14ac:dyDescent="0.2">
      <c r="F245" s="15"/>
      <c r="G245" s="15"/>
    </row>
    <row r="246" spans="6:7" x14ac:dyDescent="0.2">
      <c r="F246" s="15"/>
      <c r="G246" s="15"/>
    </row>
    <row r="247" spans="6:7" x14ac:dyDescent="0.2">
      <c r="F247" s="15"/>
      <c r="G247" s="15"/>
    </row>
    <row r="248" spans="6:7" x14ac:dyDescent="0.2">
      <c r="F248" s="15"/>
      <c r="G248" s="15"/>
    </row>
    <row r="249" spans="6:7" x14ac:dyDescent="0.2">
      <c r="F249" s="15"/>
      <c r="G249" s="15"/>
    </row>
    <row r="250" spans="6:7" x14ac:dyDescent="0.2">
      <c r="F250" s="15"/>
      <c r="G250" s="15"/>
    </row>
    <row r="251" spans="6:7" x14ac:dyDescent="0.2">
      <c r="F251" s="15"/>
      <c r="G251" s="15"/>
    </row>
    <row r="252" spans="6:7" x14ac:dyDescent="0.2">
      <c r="F252" s="15"/>
      <c r="G252" s="15"/>
    </row>
    <row r="253" spans="6:7" x14ac:dyDescent="0.2">
      <c r="F253" s="15"/>
      <c r="G253" s="15"/>
    </row>
    <row r="254" spans="6:7" x14ac:dyDescent="0.2">
      <c r="F254" s="15"/>
      <c r="G254" s="15"/>
    </row>
    <row r="255" spans="6:7" x14ac:dyDescent="0.2">
      <c r="F255" s="15"/>
      <c r="G255" s="15"/>
    </row>
    <row r="256" spans="6:7" x14ac:dyDescent="0.2">
      <c r="F256" s="15"/>
      <c r="G256" s="15"/>
    </row>
    <row r="257" spans="6:7" x14ac:dyDescent="0.2">
      <c r="F257" s="15"/>
      <c r="G257" s="15"/>
    </row>
    <row r="258" spans="6:7" x14ac:dyDescent="0.2">
      <c r="F258" s="15"/>
      <c r="G258" s="15"/>
    </row>
    <row r="259" spans="6:7" x14ac:dyDescent="0.2">
      <c r="F259" s="15"/>
      <c r="G259" s="15"/>
    </row>
    <row r="260" spans="6:7" x14ac:dyDescent="0.2">
      <c r="F260" s="15"/>
      <c r="G260" s="15"/>
    </row>
    <row r="261" spans="6:7" x14ac:dyDescent="0.2">
      <c r="F261" s="15"/>
      <c r="G261" s="15"/>
    </row>
    <row r="262" spans="6:7" x14ac:dyDescent="0.2">
      <c r="F262" s="15"/>
      <c r="G262" s="15"/>
    </row>
    <row r="263" spans="6:7" x14ac:dyDescent="0.2">
      <c r="F263" s="15"/>
      <c r="G263" s="15"/>
    </row>
    <row r="264" spans="6:7" x14ac:dyDescent="0.2">
      <c r="F264" s="15"/>
      <c r="G264" s="15"/>
    </row>
    <row r="265" spans="6:7" x14ac:dyDescent="0.2">
      <c r="F265" s="15"/>
      <c r="G265" s="15"/>
    </row>
    <row r="266" spans="6:7" x14ac:dyDescent="0.2">
      <c r="F266" s="15"/>
      <c r="G266" s="15"/>
    </row>
    <row r="267" spans="6:7" x14ac:dyDescent="0.2">
      <c r="F267" s="15"/>
      <c r="G267" s="15"/>
    </row>
    <row r="268" spans="6:7" x14ac:dyDescent="0.2">
      <c r="F268" s="15"/>
      <c r="G268" s="15"/>
    </row>
    <row r="269" spans="6:7" x14ac:dyDescent="0.2">
      <c r="F269" s="15"/>
      <c r="G269" s="15"/>
    </row>
    <row r="270" spans="6:7" x14ac:dyDescent="0.2">
      <c r="F270" s="15"/>
      <c r="G270" s="15"/>
    </row>
    <row r="271" spans="6:7" x14ac:dyDescent="0.2">
      <c r="F271" s="15"/>
      <c r="G271" s="15"/>
    </row>
    <row r="272" spans="6:7" x14ac:dyDescent="0.2">
      <c r="F272" s="15"/>
      <c r="G272" s="15"/>
    </row>
    <row r="273" spans="6:7" x14ac:dyDescent="0.2">
      <c r="F273" s="15"/>
      <c r="G273" s="15"/>
    </row>
    <row r="274" spans="6:7" x14ac:dyDescent="0.2">
      <c r="F274" s="15"/>
      <c r="G274" s="15"/>
    </row>
    <row r="275" spans="6:7" x14ac:dyDescent="0.2">
      <c r="F275" s="15"/>
      <c r="G275" s="15"/>
    </row>
    <row r="276" spans="6:7" x14ac:dyDescent="0.2">
      <c r="F276" s="15"/>
      <c r="G276" s="15"/>
    </row>
    <row r="277" spans="6:7" x14ac:dyDescent="0.2">
      <c r="F277" s="15"/>
      <c r="G277" s="15"/>
    </row>
    <row r="278" spans="6:7" x14ac:dyDescent="0.2">
      <c r="F278" s="15"/>
      <c r="G278" s="15"/>
    </row>
    <row r="279" spans="6:7" x14ac:dyDescent="0.2">
      <c r="F279" s="15"/>
      <c r="G279" s="15"/>
    </row>
    <row r="280" spans="6:7" x14ac:dyDescent="0.2">
      <c r="F280" s="15"/>
      <c r="G280" s="15"/>
    </row>
    <row r="281" spans="6:7" x14ac:dyDescent="0.2">
      <c r="F281" s="15"/>
      <c r="G281" s="15"/>
    </row>
    <row r="282" spans="6:7" x14ac:dyDescent="0.2">
      <c r="F282" s="15"/>
      <c r="G282" s="15"/>
    </row>
    <row r="283" spans="6:7" x14ac:dyDescent="0.2">
      <c r="F283" s="15"/>
      <c r="G283" s="15"/>
    </row>
    <row r="284" spans="6:7" x14ac:dyDescent="0.2">
      <c r="F284" s="15"/>
      <c r="G284" s="15"/>
    </row>
    <row r="285" spans="6:7" x14ac:dyDescent="0.2">
      <c r="F285" s="15"/>
      <c r="G285" s="15"/>
    </row>
    <row r="286" spans="6:7" x14ac:dyDescent="0.2">
      <c r="F286" s="15"/>
      <c r="G286" s="15"/>
    </row>
    <row r="287" spans="6:7" x14ac:dyDescent="0.2">
      <c r="F287" s="15"/>
      <c r="G287" s="15"/>
    </row>
    <row r="288" spans="6:7" x14ac:dyDescent="0.2">
      <c r="F288" s="15"/>
      <c r="G288" s="15"/>
    </row>
    <row r="289" spans="6:7" x14ac:dyDescent="0.2">
      <c r="F289" s="15"/>
      <c r="G289" s="15"/>
    </row>
    <row r="290" spans="6:7" x14ac:dyDescent="0.2">
      <c r="F290" s="15"/>
      <c r="G290" s="15"/>
    </row>
    <row r="291" spans="6:7" x14ac:dyDescent="0.2">
      <c r="F291" s="15"/>
      <c r="G291" s="15"/>
    </row>
    <row r="292" spans="6:7" x14ac:dyDescent="0.2">
      <c r="F292" s="15"/>
      <c r="G292" s="15"/>
    </row>
    <row r="293" spans="6:7" x14ac:dyDescent="0.2">
      <c r="F293" s="15"/>
      <c r="G293" s="15"/>
    </row>
    <row r="294" spans="6:7" x14ac:dyDescent="0.2">
      <c r="F294" s="15"/>
      <c r="G294" s="15"/>
    </row>
    <row r="295" spans="6:7" x14ac:dyDescent="0.2">
      <c r="F295" s="15"/>
      <c r="G295" s="15"/>
    </row>
    <row r="296" spans="6:7" x14ac:dyDescent="0.2">
      <c r="F296" s="15"/>
      <c r="G296" s="15"/>
    </row>
    <row r="297" spans="6:7" x14ac:dyDescent="0.2">
      <c r="F297" s="15"/>
      <c r="G297" s="15"/>
    </row>
    <row r="298" spans="6:7" x14ac:dyDescent="0.2">
      <c r="F298" s="15"/>
      <c r="G298" s="15"/>
    </row>
    <row r="299" spans="6:7" x14ac:dyDescent="0.2">
      <c r="F299" s="15"/>
      <c r="G299" s="15"/>
    </row>
    <row r="300" spans="6:7" x14ac:dyDescent="0.2">
      <c r="F300" s="15"/>
      <c r="G300" s="15"/>
    </row>
    <row r="301" spans="6:7" x14ac:dyDescent="0.2">
      <c r="F301" s="15"/>
      <c r="G301" s="15"/>
    </row>
    <row r="302" spans="6:7" x14ac:dyDescent="0.2">
      <c r="F302" s="15"/>
      <c r="G302" s="15"/>
    </row>
    <row r="303" spans="6:7" x14ac:dyDescent="0.2">
      <c r="F303" s="15"/>
      <c r="G303" s="15"/>
    </row>
    <row r="304" spans="6:7" x14ac:dyDescent="0.2">
      <c r="F304" s="15"/>
      <c r="G304" s="15"/>
    </row>
    <row r="305" spans="6:7" x14ac:dyDescent="0.2">
      <c r="F305" s="15"/>
      <c r="G305" s="15"/>
    </row>
    <row r="306" spans="6:7" x14ac:dyDescent="0.2">
      <c r="F306" s="15"/>
      <c r="G306" s="15"/>
    </row>
    <row r="307" spans="6:7" x14ac:dyDescent="0.2">
      <c r="F307" s="15"/>
      <c r="G307" s="15"/>
    </row>
    <row r="308" spans="6:7" x14ac:dyDescent="0.2">
      <c r="F308" s="15"/>
      <c r="G308" s="15"/>
    </row>
    <row r="309" spans="6:7" x14ac:dyDescent="0.2">
      <c r="F309" s="15"/>
      <c r="G309" s="15"/>
    </row>
    <row r="310" spans="6:7" x14ac:dyDescent="0.2">
      <c r="F310" s="15"/>
      <c r="G310" s="15"/>
    </row>
    <row r="311" spans="6:7" x14ac:dyDescent="0.2">
      <c r="F311" s="15"/>
      <c r="G311" s="15"/>
    </row>
    <row r="312" spans="6:7" x14ac:dyDescent="0.2">
      <c r="F312" s="15"/>
      <c r="G312" s="15"/>
    </row>
    <row r="313" spans="6:7" x14ac:dyDescent="0.2">
      <c r="F313" s="15"/>
      <c r="G313" s="15"/>
    </row>
    <row r="314" spans="6:7" x14ac:dyDescent="0.2">
      <c r="F314" s="15"/>
      <c r="G314" s="15"/>
    </row>
    <row r="315" spans="6:7" x14ac:dyDescent="0.2">
      <c r="F315" s="15"/>
      <c r="G315" s="15"/>
    </row>
    <row r="316" spans="6:7" x14ac:dyDescent="0.2">
      <c r="F316" s="15"/>
      <c r="G316" s="15"/>
    </row>
    <row r="317" spans="6:7" x14ac:dyDescent="0.2">
      <c r="F317" s="15"/>
      <c r="G317" s="15"/>
    </row>
    <row r="318" spans="6:7" x14ac:dyDescent="0.2">
      <c r="F318" s="15"/>
      <c r="G318" s="15"/>
    </row>
    <row r="319" spans="6:7" x14ac:dyDescent="0.2">
      <c r="F319" s="15"/>
      <c r="G319" s="15"/>
    </row>
    <row r="320" spans="6:7" x14ac:dyDescent="0.2">
      <c r="F320" s="15"/>
      <c r="G320" s="15"/>
    </row>
    <row r="321" spans="6:7" x14ac:dyDescent="0.2">
      <c r="F321" s="15"/>
      <c r="G321" s="15"/>
    </row>
    <row r="322" spans="6:7" x14ac:dyDescent="0.2">
      <c r="F322" s="15"/>
      <c r="G322" s="15"/>
    </row>
    <row r="323" spans="6:7" x14ac:dyDescent="0.2">
      <c r="F323" s="15"/>
      <c r="G323" s="15"/>
    </row>
    <row r="324" spans="6:7" x14ac:dyDescent="0.2">
      <c r="F324" s="15"/>
      <c r="G324" s="15"/>
    </row>
    <row r="325" spans="6:7" x14ac:dyDescent="0.2">
      <c r="F325" s="15"/>
      <c r="G325" s="15"/>
    </row>
    <row r="326" spans="6:7" x14ac:dyDescent="0.2">
      <c r="F326" s="15"/>
      <c r="G326" s="15"/>
    </row>
    <row r="327" spans="6:7" x14ac:dyDescent="0.2">
      <c r="F327" s="15"/>
      <c r="G327" s="15"/>
    </row>
    <row r="328" spans="6:7" x14ac:dyDescent="0.2">
      <c r="F328" s="15"/>
      <c r="G328" s="15"/>
    </row>
    <row r="329" spans="6:7" x14ac:dyDescent="0.2">
      <c r="F329" s="15"/>
      <c r="G329" s="15"/>
    </row>
    <row r="330" spans="6:7" x14ac:dyDescent="0.2">
      <c r="F330" s="15"/>
      <c r="G330" s="15"/>
    </row>
    <row r="331" spans="6:7" x14ac:dyDescent="0.2">
      <c r="F331" s="15"/>
      <c r="G331" s="15"/>
    </row>
    <row r="332" spans="6:7" x14ac:dyDescent="0.2">
      <c r="F332" s="15"/>
      <c r="G332" s="15"/>
    </row>
    <row r="333" spans="6:7" x14ac:dyDescent="0.2">
      <c r="F333" s="15"/>
      <c r="G333" s="15"/>
    </row>
    <row r="334" spans="6:7" x14ac:dyDescent="0.2">
      <c r="F334" s="15"/>
      <c r="G334" s="15"/>
    </row>
    <row r="335" spans="6:7" x14ac:dyDescent="0.2">
      <c r="F335" s="15"/>
      <c r="G335" s="15"/>
    </row>
    <row r="336" spans="6:7" x14ac:dyDescent="0.2">
      <c r="F336" s="15"/>
      <c r="G336" s="15"/>
    </row>
    <row r="337" spans="6:7" x14ac:dyDescent="0.2">
      <c r="F337" s="15"/>
      <c r="G337" s="15"/>
    </row>
    <row r="338" spans="6:7" x14ac:dyDescent="0.2">
      <c r="F338" s="15"/>
      <c r="G338" s="15"/>
    </row>
    <row r="339" spans="6:7" x14ac:dyDescent="0.2">
      <c r="F339" s="15"/>
      <c r="G339" s="15"/>
    </row>
    <row r="340" spans="6:7" x14ac:dyDescent="0.2">
      <c r="F340" s="15"/>
      <c r="G340" s="15"/>
    </row>
    <row r="341" spans="6:7" x14ac:dyDescent="0.2">
      <c r="F341" s="15"/>
      <c r="G341" s="15"/>
    </row>
    <row r="342" spans="6:7" x14ac:dyDescent="0.2">
      <c r="F342" s="15"/>
      <c r="G342" s="15"/>
    </row>
    <row r="343" spans="6:7" x14ac:dyDescent="0.2">
      <c r="F343" s="15"/>
      <c r="G343" s="15"/>
    </row>
    <row r="344" spans="6:7" x14ac:dyDescent="0.2">
      <c r="F344" s="15"/>
      <c r="G344" s="15"/>
    </row>
    <row r="345" spans="6:7" x14ac:dyDescent="0.2">
      <c r="F345" s="15"/>
      <c r="G345" s="15"/>
    </row>
    <row r="346" spans="6:7" x14ac:dyDescent="0.2">
      <c r="F346" s="15"/>
      <c r="G346" s="15"/>
    </row>
    <row r="347" spans="6:7" x14ac:dyDescent="0.2">
      <c r="F347" s="15"/>
      <c r="G347" s="15"/>
    </row>
    <row r="348" spans="6:7" x14ac:dyDescent="0.2">
      <c r="F348" s="15"/>
      <c r="G348" s="15"/>
    </row>
    <row r="349" spans="6:7" x14ac:dyDescent="0.2">
      <c r="F349" s="15"/>
      <c r="G349" s="15"/>
    </row>
    <row r="350" spans="6:7" x14ac:dyDescent="0.2">
      <c r="F350" s="15"/>
      <c r="G350" s="15"/>
    </row>
    <row r="351" spans="6:7" x14ac:dyDescent="0.2">
      <c r="F351" s="15"/>
      <c r="G351" s="15"/>
    </row>
    <row r="352" spans="6:7" x14ac:dyDescent="0.2">
      <c r="F352" s="15"/>
      <c r="G352" s="15"/>
    </row>
    <row r="353" spans="6:7" x14ac:dyDescent="0.2">
      <c r="F353" s="15"/>
      <c r="G353" s="15"/>
    </row>
    <row r="354" spans="6:7" x14ac:dyDescent="0.2">
      <c r="F354" s="15"/>
      <c r="G354" s="15"/>
    </row>
    <row r="355" spans="6:7" x14ac:dyDescent="0.2">
      <c r="F355" s="15"/>
      <c r="G355" s="15"/>
    </row>
    <row r="356" spans="6:7" x14ac:dyDescent="0.2">
      <c r="F356" s="15"/>
      <c r="G356" s="15"/>
    </row>
    <row r="357" spans="6:7" x14ac:dyDescent="0.2">
      <c r="F357" s="15"/>
      <c r="G357" s="15"/>
    </row>
    <row r="358" spans="6:7" x14ac:dyDescent="0.2">
      <c r="F358" s="15"/>
      <c r="G358" s="15"/>
    </row>
    <row r="359" spans="6:7" x14ac:dyDescent="0.2">
      <c r="F359" s="15"/>
      <c r="G359" s="15"/>
    </row>
    <row r="360" spans="6:7" x14ac:dyDescent="0.2">
      <c r="F360" s="15"/>
      <c r="G360" s="15"/>
    </row>
    <row r="361" spans="6:7" x14ac:dyDescent="0.2">
      <c r="F361" s="15"/>
      <c r="G361" s="15"/>
    </row>
    <row r="362" spans="6:7" x14ac:dyDescent="0.2">
      <c r="F362" s="15"/>
      <c r="G362" s="15"/>
    </row>
    <row r="363" spans="6:7" x14ac:dyDescent="0.2">
      <c r="F363" s="15"/>
      <c r="G363" s="15"/>
    </row>
    <row r="364" spans="6:7" x14ac:dyDescent="0.2">
      <c r="F364" s="15"/>
      <c r="G364" s="15"/>
    </row>
    <row r="365" spans="6:7" x14ac:dyDescent="0.2">
      <c r="F365" s="15"/>
      <c r="G365" s="15"/>
    </row>
    <row r="366" spans="6:7" x14ac:dyDescent="0.2">
      <c r="F366" s="15"/>
      <c r="G366" s="15"/>
    </row>
    <row r="367" spans="6:7" x14ac:dyDescent="0.2">
      <c r="F367" s="15"/>
      <c r="G367" s="15"/>
    </row>
    <row r="368" spans="6:7" x14ac:dyDescent="0.2">
      <c r="F368" s="15"/>
      <c r="G368" s="15"/>
    </row>
    <row r="369" spans="6:7" x14ac:dyDescent="0.2">
      <c r="F369" s="15"/>
      <c r="G369" s="15"/>
    </row>
    <row r="370" spans="6:7" x14ac:dyDescent="0.2">
      <c r="F370" s="15"/>
      <c r="G370" s="15"/>
    </row>
    <row r="371" spans="6:7" x14ac:dyDescent="0.2">
      <c r="F371" s="15"/>
      <c r="G371" s="15"/>
    </row>
    <row r="372" spans="6:7" x14ac:dyDescent="0.2">
      <c r="F372" s="15"/>
      <c r="G372" s="15"/>
    </row>
    <row r="373" spans="6:7" x14ac:dyDescent="0.2">
      <c r="F373" s="15"/>
      <c r="G373" s="15"/>
    </row>
    <row r="374" spans="6:7" x14ac:dyDescent="0.2">
      <c r="F374" s="15"/>
      <c r="G374" s="15"/>
    </row>
    <row r="375" spans="6:7" x14ac:dyDescent="0.2">
      <c r="F375" s="15"/>
      <c r="G375" s="15"/>
    </row>
    <row r="376" spans="6:7" x14ac:dyDescent="0.2">
      <c r="F376" s="15"/>
      <c r="G376" s="15"/>
    </row>
    <row r="377" spans="6:7" x14ac:dyDescent="0.2">
      <c r="F377" s="15"/>
      <c r="G377" s="15"/>
    </row>
    <row r="378" spans="6:7" x14ac:dyDescent="0.2">
      <c r="F378" s="15"/>
      <c r="G378" s="15"/>
    </row>
    <row r="379" spans="6:7" x14ac:dyDescent="0.2">
      <c r="F379" s="15"/>
      <c r="G379" s="15"/>
    </row>
    <row r="380" spans="6:7" x14ac:dyDescent="0.2">
      <c r="F380" s="15"/>
      <c r="G380" s="15"/>
    </row>
    <row r="381" spans="6:7" x14ac:dyDescent="0.2">
      <c r="F381" s="15"/>
      <c r="G381" s="15"/>
    </row>
    <row r="382" spans="6:7" x14ac:dyDescent="0.2">
      <c r="F382" s="15"/>
      <c r="G382" s="15"/>
    </row>
    <row r="383" spans="6:7" x14ac:dyDescent="0.2">
      <c r="F383" s="15"/>
      <c r="G383" s="15"/>
    </row>
    <row r="384" spans="6:7" x14ac:dyDescent="0.2">
      <c r="F384" s="15"/>
      <c r="G384" s="15"/>
    </row>
    <row r="385" spans="6:7" x14ac:dyDescent="0.2">
      <c r="F385" s="15"/>
      <c r="G385" s="15"/>
    </row>
    <row r="386" spans="6:7" x14ac:dyDescent="0.2">
      <c r="F386" s="15"/>
      <c r="G386" s="15"/>
    </row>
    <row r="387" spans="6:7" x14ac:dyDescent="0.2">
      <c r="F387" s="15"/>
      <c r="G387" s="15"/>
    </row>
    <row r="388" spans="6:7" x14ac:dyDescent="0.2">
      <c r="F388" s="15"/>
      <c r="G388" s="15"/>
    </row>
    <row r="389" spans="6:7" x14ac:dyDescent="0.2">
      <c r="F389" s="15"/>
      <c r="G389" s="15"/>
    </row>
    <row r="390" spans="6:7" x14ac:dyDescent="0.2">
      <c r="F390" s="15"/>
      <c r="G390" s="15"/>
    </row>
    <row r="391" spans="6:7" x14ac:dyDescent="0.2">
      <c r="F391" s="15"/>
      <c r="G391" s="15"/>
    </row>
    <row r="392" spans="6:7" x14ac:dyDescent="0.2">
      <c r="F392" s="15"/>
      <c r="G392" s="15"/>
    </row>
    <row r="393" spans="6:7" x14ac:dyDescent="0.2">
      <c r="F393" s="15"/>
      <c r="G393" s="15"/>
    </row>
    <row r="394" spans="6:7" x14ac:dyDescent="0.2">
      <c r="F394" s="15"/>
      <c r="G394" s="15"/>
    </row>
    <row r="395" spans="6:7" x14ac:dyDescent="0.2">
      <c r="F395" s="15"/>
      <c r="G395" s="15"/>
    </row>
    <row r="396" spans="6:7" x14ac:dyDescent="0.2">
      <c r="F396" s="15"/>
      <c r="G396" s="15"/>
    </row>
    <row r="397" spans="6:7" x14ac:dyDescent="0.2">
      <c r="F397" s="15"/>
      <c r="G397" s="15"/>
    </row>
    <row r="398" spans="6:7" x14ac:dyDescent="0.2">
      <c r="F398" s="15"/>
      <c r="G398" s="15"/>
    </row>
    <row r="399" spans="6:7" x14ac:dyDescent="0.2">
      <c r="F399" s="15"/>
      <c r="G399" s="15"/>
    </row>
    <row r="400" spans="6:7" x14ac:dyDescent="0.2">
      <c r="F400" s="15"/>
      <c r="G400" s="15"/>
    </row>
    <row r="401" spans="6:7" x14ac:dyDescent="0.2">
      <c r="F401" s="15"/>
      <c r="G401" s="15"/>
    </row>
    <row r="402" spans="6:7" x14ac:dyDescent="0.2">
      <c r="F402" s="15"/>
      <c r="G402" s="15"/>
    </row>
    <row r="403" spans="6:7" x14ac:dyDescent="0.2">
      <c r="F403" s="15"/>
      <c r="G403" s="15"/>
    </row>
    <row r="404" spans="6:7" x14ac:dyDescent="0.2">
      <c r="F404" s="15"/>
      <c r="G404" s="15"/>
    </row>
    <row r="405" spans="6:7" x14ac:dyDescent="0.2">
      <c r="F405" s="15"/>
      <c r="G405" s="15"/>
    </row>
    <row r="406" spans="6:7" x14ac:dyDescent="0.2">
      <c r="F406" s="15"/>
      <c r="G406" s="15"/>
    </row>
    <row r="407" spans="6:7" x14ac:dyDescent="0.2">
      <c r="F407" s="15"/>
      <c r="G407" s="15"/>
    </row>
    <row r="408" spans="6:7" x14ac:dyDescent="0.2">
      <c r="F408" s="15"/>
      <c r="G408" s="15"/>
    </row>
    <row r="409" spans="6:7" x14ac:dyDescent="0.2">
      <c r="F409" s="15"/>
      <c r="G409" s="15"/>
    </row>
    <row r="410" spans="6:7" x14ac:dyDescent="0.2">
      <c r="F410" s="15"/>
      <c r="G410" s="15"/>
    </row>
    <row r="411" spans="6:7" x14ac:dyDescent="0.2">
      <c r="F411" s="15"/>
      <c r="G411" s="15"/>
    </row>
    <row r="412" spans="6:7" x14ac:dyDescent="0.2">
      <c r="F412" s="15"/>
      <c r="G412" s="15"/>
    </row>
    <row r="413" spans="6:7" x14ac:dyDescent="0.2">
      <c r="F413" s="15"/>
      <c r="G413" s="15"/>
    </row>
    <row r="414" spans="6:7" x14ac:dyDescent="0.2">
      <c r="F414" s="15"/>
      <c r="G414" s="15"/>
    </row>
    <row r="415" spans="6:7" x14ac:dyDescent="0.2">
      <c r="F415" s="15"/>
      <c r="G415" s="15"/>
    </row>
    <row r="416" spans="6:7" x14ac:dyDescent="0.2">
      <c r="F416" s="15"/>
      <c r="G416" s="15"/>
    </row>
    <row r="417" spans="6:7" x14ac:dyDescent="0.2">
      <c r="F417" s="15"/>
      <c r="G417" s="15"/>
    </row>
    <row r="418" spans="6:7" x14ac:dyDescent="0.2">
      <c r="F418" s="15"/>
      <c r="G418" s="15"/>
    </row>
    <row r="419" spans="6:7" x14ac:dyDescent="0.2">
      <c r="F419" s="15"/>
      <c r="G419" s="15"/>
    </row>
    <row r="420" spans="6:7" x14ac:dyDescent="0.2">
      <c r="F420" s="15"/>
      <c r="G420" s="15"/>
    </row>
    <row r="421" spans="6:7" x14ac:dyDescent="0.2">
      <c r="F421" s="15"/>
      <c r="G421" s="15"/>
    </row>
    <row r="422" spans="6:7" x14ac:dyDescent="0.2">
      <c r="F422" s="15"/>
      <c r="G422" s="15"/>
    </row>
    <row r="423" spans="6:7" x14ac:dyDescent="0.2">
      <c r="F423" s="15"/>
      <c r="G423" s="15"/>
    </row>
    <row r="424" spans="6:7" x14ac:dyDescent="0.2">
      <c r="F424" s="15"/>
      <c r="G424" s="15"/>
    </row>
    <row r="425" spans="6:7" x14ac:dyDescent="0.2">
      <c r="F425" s="15"/>
      <c r="G425" s="15"/>
    </row>
    <row r="426" spans="6:7" x14ac:dyDescent="0.2">
      <c r="F426" s="15"/>
      <c r="G426" s="15"/>
    </row>
    <row r="427" spans="6:7" x14ac:dyDescent="0.2">
      <c r="F427" s="15"/>
      <c r="G427" s="15"/>
    </row>
    <row r="428" spans="6:7" x14ac:dyDescent="0.2">
      <c r="F428" s="15"/>
      <c r="G428" s="15"/>
    </row>
    <row r="429" spans="6:7" x14ac:dyDescent="0.2">
      <c r="F429" s="15"/>
      <c r="G429" s="15"/>
    </row>
    <row r="430" spans="6:7" x14ac:dyDescent="0.2">
      <c r="F430" s="15"/>
      <c r="G430" s="15"/>
    </row>
    <row r="431" spans="6:7" x14ac:dyDescent="0.2">
      <c r="F431" s="15"/>
      <c r="G431" s="15"/>
    </row>
    <row r="432" spans="6:7" x14ac:dyDescent="0.2">
      <c r="F432" s="15"/>
      <c r="G432" s="15"/>
    </row>
    <row r="433" spans="6:7" x14ac:dyDescent="0.2">
      <c r="F433" s="15"/>
      <c r="G433" s="15"/>
    </row>
    <row r="434" spans="6:7" x14ac:dyDescent="0.2">
      <c r="F434" s="15"/>
      <c r="G434" s="15"/>
    </row>
    <row r="435" spans="6:7" x14ac:dyDescent="0.2">
      <c r="F435" s="15"/>
      <c r="G435" s="15"/>
    </row>
    <row r="436" spans="6:7" x14ac:dyDescent="0.2">
      <c r="F436" s="15"/>
      <c r="G436" s="15"/>
    </row>
    <row r="437" spans="6:7" x14ac:dyDescent="0.2">
      <c r="F437" s="15"/>
      <c r="G437" s="15"/>
    </row>
    <row r="438" spans="6:7" x14ac:dyDescent="0.2">
      <c r="F438" s="15"/>
      <c r="G438" s="15"/>
    </row>
    <row r="439" spans="6:7" x14ac:dyDescent="0.2">
      <c r="F439" s="15"/>
      <c r="G439" s="15"/>
    </row>
    <row r="440" spans="6:7" x14ac:dyDescent="0.2">
      <c r="F440" s="15"/>
      <c r="G440" s="15"/>
    </row>
    <row r="441" spans="6:7" x14ac:dyDescent="0.2">
      <c r="F441" s="15"/>
      <c r="G441" s="15"/>
    </row>
    <row r="442" spans="6:7" x14ac:dyDescent="0.2">
      <c r="F442" s="15"/>
      <c r="G442" s="15"/>
    </row>
    <row r="443" spans="6:7" x14ac:dyDescent="0.2">
      <c r="F443" s="15"/>
      <c r="G443" s="15"/>
    </row>
    <row r="444" spans="6:7" x14ac:dyDescent="0.2">
      <c r="F444" s="15"/>
      <c r="G444" s="15"/>
    </row>
    <row r="445" spans="6:7" x14ac:dyDescent="0.2">
      <c r="F445" s="15"/>
      <c r="G445" s="15"/>
    </row>
    <row r="446" spans="6:7" x14ac:dyDescent="0.2">
      <c r="F446" s="15"/>
      <c r="G446" s="15"/>
    </row>
    <row r="447" spans="6:7" x14ac:dyDescent="0.2">
      <c r="F447" s="15"/>
      <c r="G447" s="15"/>
    </row>
    <row r="448" spans="6:7" x14ac:dyDescent="0.2">
      <c r="F448" s="15"/>
      <c r="G448" s="15"/>
    </row>
    <row r="449" spans="6:7" x14ac:dyDescent="0.2">
      <c r="F449" s="15"/>
      <c r="G449" s="15"/>
    </row>
    <row r="450" spans="6:7" x14ac:dyDescent="0.2">
      <c r="F450" s="15"/>
      <c r="G450" s="15"/>
    </row>
    <row r="451" spans="6:7" x14ac:dyDescent="0.2">
      <c r="F451" s="15"/>
      <c r="G451" s="15"/>
    </row>
    <row r="452" spans="6:7" x14ac:dyDescent="0.2">
      <c r="F452" s="15"/>
      <c r="G452" s="15"/>
    </row>
    <row r="453" spans="6:7" x14ac:dyDescent="0.2">
      <c r="F453" s="15"/>
      <c r="G453" s="15"/>
    </row>
    <row r="454" spans="6:7" x14ac:dyDescent="0.2">
      <c r="F454" s="15"/>
      <c r="G454" s="15"/>
    </row>
    <row r="455" spans="6:7" x14ac:dyDescent="0.2">
      <c r="F455" s="15"/>
      <c r="G455" s="15"/>
    </row>
    <row r="456" spans="6:7" x14ac:dyDescent="0.2">
      <c r="F456" s="15"/>
      <c r="G456" s="15"/>
    </row>
    <row r="457" spans="6:7" x14ac:dyDescent="0.2">
      <c r="F457" s="15"/>
      <c r="G457" s="15"/>
    </row>
    <row r="458" spans="6:7" x14ac:dyDescent="0.2">
      <c r="F458" s="15"/>
      <c r="G458" s="15"/>
    </row>
    <row r="459" spans="6:7" x14ac:dyDescent="0.2">
      <c r="F459" s="15"/>
      <c r="G459" s="15"/>
    </row>
    <row r="460" spans="6:7" x14ac:dyDescent="0.2">
      <c r="F460" s="15"/>
      <c r="G460" s="15"/>
    </row>
    <row r="461" spans="6:7" x14ac:dyDescent="0.2">
      <c r="F461" s="15"/>
      <c r="G461" s="15"/>
    </row>
    <row r="462" spans="6:7" x14ac:dyDescent="0.2">
      <c r="F462" s="15"/>
      <c r="G462" s="15"/>
    </row>
    <row r="463" spans="6:7" x14ac:dyDescent="0.2">
      <c r="F463" s="15"/>
      <c r="G463" s="15"/>
    </row>
    <row r="464" spans="6:7" x14ac:dyDescent="0.2">
      <c r="F464" s="15"/>
      <c r="G464" s="15"/>
    </row>
    <row r="465" spans="6:7" x14ac:dyDescent="0.2">
      <c r="F465" s="15"/>
      <c r="G465" s="15"/>
    </row>
    <row r="466" spans="6:7" x14ac:dyDescent="0.2">
      <c r="F466" s="15"/>
      <c r="G466" s="15"/>
    </row>
    <row r="467" spans="6:7" x14ac:dyDescent="0.2">
      <c r="F467" s="15"/>
      <c r="G467" s="15"/>
    </row>
    <row r="468" spans="6:7" x14ac:dyDescent="0.2">
      <c r="F468" s="15"/>
      <c r="G468" s="15"/>
    </row>
    <row r="469" spans="6:7" x14ac:dyDescent="0.2">
      <c r="F469" s="15"/>
      <c r="G469" s="15"/>
    </row>
    <row r="470" spans="6:7" x14ac:dyDescent="0.2">
      <c r="F470" s="15"/>
      <c r="G470" s="15"/>
    </row>
    <row r="471" spans="6:7" x14ac:dyDescent="0.2">
      <c r="F471" s="15"/>
      <c r="G471" s="15"/>
    </row>
    <row r="472" spans="6:7" x14ac:dyDescent="0.2">
      <c r="F472" s="15"/>
      <c r="G472" s="15"/>
    </row>
    <row r="473" spans="6:7" x14ac:dyDescent="0.2">
      <c r="F473" s="15"/>
      <c r="G473" s="15"/>
    </row>
    <row r="474" spans="6:7" x14ac:dyDescent="0.2">
      <c r="F474" s="15"/>
      <c r="G474" s="15"/>
    </row>
    <row r="475" spans="6:7" x14ac:dyDescent="0.2">
      <c r="F475" s="15"/>
      <c r="G475" s="15"/>
    </row>
    <row r="476" spans="6:7" x14ac:dyDescent="0.2">
      <c r="F476" s="15"/>
      <c r="G476" s="15"/>
    </row>
    <row r="477" spans="6:7" x14ac:dyDescent="0.2">
      <c r="F477" s="15"/>
      <c r="G477" s="15"/>
    </row>
    <row r="478" spans="6:7" x14ac:dyDescent="0.2">
      <c r="F478" s="15"/>
      <c r="G478" s="15"/>
    </row>
    <row r="479" spans="6:7" x14ac:dyDescent="0.2">
      <c r="F479" s="15"/>
      <c r="G479" s="15"/>
    </row>
    <row r="480" spans="6:7" x14ac:dyDescent="0.2">
      <c r="F480" s="15"/>
      <c r="G480" s="15"/>
    </row>
    <row r="481" spans="6:7" x14ac:dyDescent="0.2">
      <c r="F481" s="15"/>
      <c r="G481" s="15"/>
    </row>
    <row r="482" spans="6:7" x14ac:dyDescent="0.2">
      <c r="F482" s="15"/>
      <c r="G482" s="15"/>
    </row>
    <row r="483" spans="6:7" x14ac:dyDescent="0.2">
      <c r="F483" s="15"/>
      <c r="G483" s="15"/>
    </row>
    <row r="484" spans="6:7" x14ac:dyDescent="0.2">
      <c r="F484" s="15"/>
      <c r="G484" s="15"/>
    </row>
    <row r="485" spans="6:7" x14ac:dyDescent="0.2">
      <c r="F485" s="15"/>
      <c r="G485" s="15"/>
    </row>
    <row r="486" spans="6:7" x14ac:dyDescent="0.2">
      <c r="F486" s="15"/>
      <c r="G486" s="15"/>
    </row>
    <row r="487" spans="6:7" x14ac:dyDescent="0.2">
      <c r="F487" s="15"/>
      <c r="G487" s="15"/>
    </row>
    <row r="488" spans="6:7" x14ac:dyDescent="0.2">
      <c r="F488" s="15"/>
      <c r="G488" s="15"/>
    </row>
    <row r="489" spans="6:7" x14ac:dyDescent="0.2">
      <c r="F489" s="15"/>
      <c r="G489" s="15"/>
    </row>
    <row r="490" spans="6:7" x14ac:dyDescent="0.2">
      <c r="F490" s="15"/>
      <c r="G490" s="15"/>
    </row>
    <row r="491" spans="6:7" x14ac:dyDescent="0.2">
      <c r="F491" s="15"/>
      <c r="G491" s="15"/>
    </row>
    <row r="492" spans="6:7" x14ac:dyDescent="0.2">
      <c r="F492" s="15"/>
      <c r="G492" s="15"/>
    </row>
    <row r="493" spans="6:7" x14ac:dyDescent="0.2">
      <c r="F493" s="15"/>
      <c r="G493" s="15"/>
    </row>
    <row r="494" spans="6:7" x14ac:dyDescent="0.2">
      <c r="F494" s="15"/>
      <c r="G494" s="15"/>
    </row>
    <row r="495" spans="6:7" x14ac:dyDescent="0.2">
      <c r="F495" s="15"/>
      <c r="G495" s="15"/>
    </row>
    <row r="496" spans="6:7" x14ac:dyDescent="0.2">
      <c r="F496" s="15"/>
      <c r="G496" s="15"/>
    </row>
    <row r="497" spans="6:7" x14ac:dyDescent="0.2">
      <c r="F497" s="15"/>
      <c r="G497" s="15"/>
    </row>
    <row r="498" spans="6:7" x14ac:dyDescent="0.2">
      <c r="F498" s="15"/>
      <c r="G498" s="15"/>
    </row>
    <row r="499" spans="6:7" x14ac:dyDescent="0.2">
      <c r="F499" s="15"/>
      <c r="G499" s="15"/>
    </row>
    <row r="500" spans="6:7" x14ac:dyDescent="0.2">
      <c r="F500" s="15"/>
      <c r="G500" s="15"/>
    </row>
    <row r="501" spans="6:7" x14ac:dyDescent="0.2">
      <c r="F501" s="15"/>
      <c r="G501" s="15"/>
    </row>
    <row r="502" spans="6:7" x14ac:dyDescent="0.2">
      <c r="F502" s="15"/>
      <c r="G502" s="15"/>
    </row>
    <row r="503" spans="6:7" x14ac:dyDescent="0.2">
      <c r="F503" s="15"/>
      <c r="G503" s="15"/>
    </row>
    <row r="504" spans="6:7" x14ac:dyDescent="0.2">
      <c r="F504" s="15"/>
      <c r="G504" s="15"/>
    </row>
    <row r="505" spans="6:7" x14ac:dyDescent="0.2">
      <c r="F505" s="15"/>
      <c r="G505" s="15"/>
    </row>
    <row r="506" spans="6:7" x14ac:dyDescent="0.2">
      <c r="F506" s="15"/>
      <c r="G506" s="15"/>
    </row>
    <row r="507" spans="6:7" x14ac:dyDescent="0.2">
      <c r="F507" s="15"/>
      <c r="G507" s="15"/>
    </row>
    <row r="508" spans="6:7" x14ac:dyDescent="0.2">
      <c r="F508" s="15"/>
      <c r="G508" s="15"/>
    </row>
    <row r="509" spans="6:7" x14ac:dyDescent="0.2">
      <c r="F509" s="15"/>
      <c r="G509" s="15"/>
    </row>
    <row r="510" spans="6:7" x14ac:dyDescent="0.2">
      <c r="F510" s="15"/>
      <c r="G510" s="15"/>
    </row>
    <row r="511" spans="6:7" x14ac:dyDescent="0.2">
      <c r="F511" s="15"/>
      <c r="G511" s="15"/>
    </row>
    <row r="512" spans="6:7" x14ac:dyDescent="0.2">
      <c r="F512" s="15"/>
      <c r="G512" s="15"/>
    </row>
    <row r="513" spans="6:7" x14ac:dyDescent="0.2">
      <c r="F513" s="15"/>
      <c r="G513" s="15"/>
    </row>
    <row r="514" spans="6:7" x14ac:dyDescent="0.2">
      <c r="F514" s="15"/>
      <c r="G514" s="15"/>
    </row>
    <row r="515" spans="6:7" x14ac:dyDescent="0.2">
      <c r="F515" s="15"/>
      <c r="G515" s="15"/>
    </row>
    <row r="516" spans="6:7" x14ac:dyDescent="0.2">
      <c r="F516" s="15"/>
      <c r="G516" s="15"/>
    </row>
    <row r="517" spans="6:7" x14ac:dyDescent="0.2">
      <c r="F517" s="15"/>
      <c r="G517" s="15"/>
    </row>
    <row r="518" spans="6:7" x14ac:dyDescent="0.2">
      <c r="F518" s="15"/>
      <c r="G518" s="15"/>
    </row>
    <row r="519" spans="6:7" x14ac:dyDescent="0.2">
      <c r="F519" s="15"/>
      <c r="G519" s="15"/>
    </row>
    <row r="520" spans="6:7" x14ac:dyDescent="0.2">
      <c r="F520" s="15"/>
      <c r="G520" s="15"/>
    </row>
    <row r="521" spans="6:7" x14ac:dyDescent="0.2">
      <c r="F521" s="15"/>
      <c r="G521" s="15"/>
    </row>
    <row r="522" spans="6:7" x14ac:dyDescent="0.2">
      <c r="F522" s="15"/>
      <c r="G522" s="15"/>
    </row>
    <row r="523" spans="6:7" x14ac:dyDescent="0.2">
      <c r="F523" s="15"/>
      <c r="G523" s="15"/>
    </row>
    <row r="524" spans="6:7" x14ac:dyDescent="0.2">
      <c r="F524" s="15"/>
      <c r="G524" s="15"/>
    </row>
    <row r="525" spans="6:7" x14ac:dyDescent="0.2">
      <c r="F525" s="15"/>
      <c r="G525" s="15"/>
    </row>
    <row r="526" spans="6:7" x14ac:dyDescent="0.2">
      <c r="F526" s="15"/>
      <c r="G526" s="15"/>
    </row>
    <row r="527" spans="6:7" x14ac:dyDescent="0.2">
      <c r="F527" s="15"/>
      <c r="G527" s="15"/>
    </row>
    <row r="528" spans="6:7" x14ac:dyDescent="0.2">
      <c r="F528" s="15"/>
      <c r="G528" s="15"/>
    </row>
    <row r="529" spans="6:7" x14ac:dyDescent="0.2">
      <c r="F529" s="15"/>
      <c r="G529" s="15"/>
    </row>
    <row r="530" spans="6:7" x14ac:dyDescent="0.2">
      <c r="F530" s="15"/>
      <c r="G530" s="15"/>
    </row>
    <row r="531" spans="6:7" x14ac:dyDescent="0.2">
      <c r="F531" s="15"/>
      <c r="G531" s="15"/>
    </row>
    <row r="532" spans="6:7" x14ac:dyDescent="0.2">
      <c r="F532" s="15"/>
      <c r="G532" s="15"/>
    </row>
    <row r="533" spans="6:7" x14ac:dyDescent="0.2">
      <c r="F533" s="15"/>
      <c r="G533" s="15"/>
    </row>
    <row r="534" spans="6:7" x14ac:dyDescent="0.2">
      <c r="F534" s="15"/>
      <c r="G534" s="15"/>
    </row>
    <row r="535" spans="6:7" x14ac:dyDescent="0.2">
      <c r="F535" s="15"/>
      <c r="G535" s="15"/>
    </row>
    <row r="536" spans="6:7" x14ac:dyDescent="0.2">
      <c r="F536" s="15"/>
      <c r="G536" s="15"/>
    </row>
    <row r="537" spans="6:7" x14ac:dyDescent="0.2">
      <c r="F537" s="15"/>
      <c r="G537" s="15"/>
    </row>
    <row r="538" spans="6:7" x14ac:dyDescent="0.2">
      <c r="F538" s="15"/>
      <c r="G538" s="15"/>
    </row>
    <row r="539" spans="6:7" x14ac:dyDescent="0.2">
      <c r="F539" s="15"/>
      <c r="G539" s="15"/>
    </row>
    <row r="540" spans="6:7" x14ac:dyDescent="0.2">
      <c r="F540" s="15"/>
      <c r="G540" s="15"/>
    </row>
    <row r="541" spans="6:7" x14ac:dyDescent="0.2">
      <c r="F541" s="15"/>
      <c r="G541" s="15"/>
    </row>
    <row r="542" spans="6:7" x14ac:dyDescent="0.2">
      <c r="F542" s="15"/>
      <c r="G542" s="15"/>
    </row>
    <row r="543" spans="6:7" x14ac:dyDescent="0.2">
      <c r="F543" s="15"/>
      <c r="G543" s="15"/>
    </row>
    <row r="544" spans="6:7" x14ac:dyDescent="0.2">
      <c r="F544" s="15"/>
      <c r="G544" s="15"/>
    </row>
    <row r="545" spans="6:7" x14ac:dyDescent="0.2">
      <c r="F545" s="15"/>
      <c r="G545" s="15"/>
    </row>
    <row r="546" spans="6:7" x14ac:dyDescent="0.2">
      <c r="F546" s="15"/>
      <c r="G546" s="15"/>
    </row>
    <row r="547" spans="6:7" x14ac:dyDescent="0.2">
      <c r="F547" s="15"/>
      <c r="G547" s="15"/>
    </row>
    <row r="548" spans="6:7" x14ac:dyDescent="0.2">
      <c r="F548" s="15"/>
      <c r="G548" s="15"/>
    </row>
    <row r="549" spans="6:7" x14ac:dyDescent="0.2">
      <c r="F549" s="15"/>
      <c r="G549" s="15"/>
    </row>
    <row r="550" spans="6:7" x14ac:dyDescent="0.2">
      <c r="F550" s="15"/>
      <c r="G550" s="15"/>
    </row>
    <row r="551" spans="6:7" x14ac:dyDescent="0.2">
      <c r="F551" s="15"/>
      <c r="G551" s="15"/>
    </row>
    <row r="552" spans="6:7" x14ac:dyDescent="0.2">
      <c r="F552" s="15"/>
      <c r="G552" s="15"/>
    </row>
    <row r="553" spans="6:7" x14ac:dyDescent="0.2">
      <c r="F553" s="15"/>
      <c r="G553" s="15"/>
    </row>
    <row r="554" spans="6:7" x14ac:dyDescent="0.2">
      <c r="F554" s="15"/>
      <c r="G554" s="15"/>
    </row>
    <row r="555" spans="6:7" x14ac:dyDescent="0.2">
      <c r="F555" s="15"/>
      <c r="G555" s="15"/>
    </row>
    <row r="556" spans="6:7" x14ac:dyDescent="0.2">
      <c r="F556" s="15"/>
      <c r="G556" s="15"/>
    </row>
    <row r="557" spans="6:7" x14ac:dyDescent="0.2">
      <c r="F557" s="15"/>
      <c r="G557" s="15"/>
    </row>
    <row r="558" spans="6:7" x14ac:dyDescent="0.2">
      <c r="F558" s="15"/>
      <c r="G558" s="15"/>
    </row>
    <row r="559" spans="6:7" x14ac:dyDescent="0.2">
      <c r="F559" s="15"/>
      <c r="G559" s="15"/>
    </row>
    <row r="560" spans="6:7" x14ac:dyDescent="0.2">
      <c r="F560" s="15"/>
      <c r="G560" s="15"/>
    </row>
    <row r="561" spans="6:7" x14ac:dyDescent="0.2">
      <c r="F561" s="15"/>
      <c r="G561" s="15"/>
    </row>
    <row r="562" spans="6:7" x14ac:dyDescent="0.2">
      <c r="F562" s="15"/>
      <c r="G562" s="15"/>
    </row>
    <row r="563" spans="6:7" x14ac:dyDescent="0.2">
      <c r="F563" s="15"/>
      <c r="G563" s="15"/>
    </row>
    <row r="564" spans="6:7" x14ac:dyDescent="0.2">
      <c r="F564" s="15"/>
      <c r="G564" s="15"/>
    </row>
    <row r="565" spans="6:7" x14ac:dyDescent="0.2">
      <c r="F565" s="15"/>
      <c r="G565" s="15"/>
    </row>
    <row r="566" spans="6:7" x14ac:dyDescent="0.2">
      <c r="F566" s="15"/>
      <c r="G566" s="15"/>
    </row>
    <row r="567" spans="6:7" x14ac:dyDescent="0.2">
      <c r="F567" s="15"/>
      <c r="G567" s="15"/>
    </row>
    <row r="568" spans="6:7" x14ac:dyDescent="0.2">
      <c r="F568" s="15"/>
      <c r="G568" s="15"/>
    </row>
    <row r="569" spans="6:7" x14ac:dyDescent="0.2">
      <c r="F569" s="15"/>
      <c r="G569" s="15"/>
    </row>
    <row r="570" spans="6:7" x14ac:dyDescent="0.2">
      <c r="F570" s="15"/>
      <c r="G570" s="15"/>
    </row>
    <row r="571" spans="6:7" x14ac:dyDescent="0.2">
      <c r="F571" s="15"/>
      <c r="G571" s="15"/>
    </row>
    <row r="572" spans="6:7" x14ac:dyDescent="0.2">
      <c r="F572" s="15"/>
      <c r="G572" s="15"/>
    </row>
    <row r="573" spans="6:7" x14ac:dyDescent="0.2">
      <c r="F573" s="15"/>
      <c r="G573" s="15"/>
    </row>
    <row r="574" spans="6:7" x14ac:dyDescent="0.2">
      <c r="F574" s="15"/>
      <c r="G574" s="15"/>
    </row>
    <row r="575" spans="6:7" x14ac:dyDescent="0.2">
      <c r="F575" s="15"/>
      <c r="G575" s="15"/>
    </row>
    <row r="576" spans="6:7" x14ac:dyDescent="0.2">
      <c r="F576" s="15"/>
      <c r="G576" s="15"/>
    </row>
    <row r="577" spans="6:7" x14ac:dyDescent="0.2">
      <c r="F577" s="15"/>
      <c r="G577" s="15"/>
    </row>
    <row r="578" spans="6:7" x14ac:dyDescent="0.2">
      <c r="F578" s="15"/>
      <c r="G578" s="15"/>
    </row>
    <row r="579" spans="6:7" x14ac:dyDescent="0.2">
      <c r="F579" s="15"/>
      <c r="G579" s="15"/>
    </row>
    <row r="580" spans="6:7" x14ac:dyDescent="0.2">
      <c r="F580" s="15"/>
      <c r="G580" s="15"/>
    </row>
    <row r="581" spans="6:7" x14ac:dyDescent="0.2">
      <c r="F581" s="15"/>
      <c r="G581" s="15"/>
    </row>
    <row r="582" spans="6:7" x14ac:dyDescent="0.2">
      <c r="F582" s="15"/>
      <c r="G582" s="15"/>
    </row>
    <row r="583" spans="6:7" x14ac:dyDescent="0.2">
      <c r="F583" s="15"/>
      <c r="G583" s="15"/>
    </row>
    <row r="584" spans="6:7" x14ac:dyDescent="0.2">
      <c r="F584" s="15"/>
      <c r="G584" s="15"/>
    </row>
    <row r="585" spans="6:7" x14ac:dyDescent="0.2">
      <c r="F585" s="15"/>
      <c r="G585" s="15"/>
    </row>
    <row r="586" spans="6:7" x14ac:dyDescent="0.2">
      <c r="F586" s="15"/>
      <c r="G586" s="15"/>
    </row>
    <row r="587" spans="6:7" x14ac:dyDescent="0.2">
      <c r="F587" s="15"/>
      <c r="G587" s="15"/>
    </row>
    <row r="588" spans="6:7" x14ac:dyDescent="0.2">
      <c r="F588" s="15"/>
      <c r="G588" s="15"/>
    </row>
    <row r="589" spans="6:7" x14ac:dyDescent="0.2">
      <c r="F589" s="15"/>
      <c r="G589" s="15"/>
    </row>
    <row r="590" spans="6:7" x14ac:dyDescent="0.2">
      <c r="F590" s="15"/>
      <c r="G590" s="15"/>
    </row>
    <row r="591" spans="6:7" x14ac:dyDescent="0.2">
      <c r="F591" s="15"/>
      <c r="G591" s="15"/>
    </row>
    <row r="592" spans="6:7" x14ac:dyDescent="0.2">
      <c r="F592" s="15"/>
      <c r="G592" s="15"/>
    </row>
    <row r="593" spans="6:7" x14ac:dyDescent="0.2">
      <c r="F593" s="15"/>
      <c r="G593" s="15"/>
    </row>
    <row r="594" spans="6:7" x14ac:dyDescent="0.2">
      <c r="F594" s="15"/>
      <c r="G594" s="15"/>
    </row>
    <row r="595" spans="6:7" x14ac:dyDescent="0.2">
      <c r="F595" s="15"/>
      <c r="G595" s="15"/>
    </row>
    <row r="596" spans="6:7" x14ac:dyDescent="0.2">
      <c r="F596" s="15"/>
      <c r="G596" s="15"/>
    </row>
    <row r="597" spans="6:7" x14ac:dyDescent="0.2">
      <c r="F597" s="15"/>
      <c r="G597" s="15"/>
    </row>
    <row r="598" spans="6:7" x14ac:dyDescent="0.2">
      <c r="F598" s="15"/>
      <c r="G598" s="15"/>
    </row>
    <row r="599" spans="6:7" x14ac:dyDescent="0.2">
      <c r="F599" s="15"/>
      <c r="G599" s="15"/>
    </row>
    <row r="600" spans="6:7" x14ac:dyDescent="0.2">
      <c r="F600" s="15"/>
      <c r="G600" s="15"/>
    </row>
    <row r="601" spans="6:7" x14ac:dyDescent="0.2">
      <c r="F601" s="15"/>
      <c r="G601" s="15"/>
    </row>
    <row r="602" spans="6:7" x14ac:dyDescent="0.2">
      <c r="F602" s="15"/>
      <c r="G602" s="15"/>
    </row>
    <row r="603" spans="6:7" x14ac:dyDescent="0.2">
      <c r="F603" s="15"/>
      <c r="G603" s="15"/>
    </row>
    <row r="604" spans="6:7" x14ac:dyDescent="0.2">
      <c r="F604" s="15"/>
      <c r="G604" s="15"/>
    </row>
    <row r="605" spans="6:7" x14ac:dyDescent="0.2">
      <c r="F605" s="15"/>
      <c r="G605" s="15"/>
    </row>
    <row r="606" spans="6:7" x14ac:dyDescent="0.2">
      <c r="F606" s="15"/>
      <c r="G606" s="15"/>
    </row>
    <row r="607" spans="6:7" x14ac:dyDescent="0.2">
      <c r="F607" s="15"/>
      <c r="G607" s="15"/>
    </row>
    <row r="608" spans="6:7" x14ac:dyDescent="0.2">
      <c r="F608" s="15"/>
      <c r="G608" s="15"/>
    </row>
    <row r="609" spans="6:7" x14ac:dyDescent="0.2">
      <c r="F609" s="15"/>
      <c r="G609" s="15"/>
    </row>
    <row r="610" spans="6:7" x14ac:dyDescent="0.2">
      <c r="F610" s="15"/>
      <c r="G610" s="15"/>
    </row>
    <row r="611" spans="6:7" x14ac:dyDescent="0.2">
      <c r="F611" s="15"/>
      <c r="G611" s="15"/>
    </row>
    <row r="612" spans="6:7" x14ac:dyDescent="0.2">
      <c r="F612" s="15"/>
      <c r="G612" s="15"/>
    </row>
    <row r="613" spans="6:7" x14ac:dyDescent="0.2">
      <c r="F613" s="15"/>
      <c r="G613" s="15"/>
    </row>
    <row r="614" spans="6:7" x14ac:dyDescent="0.2">
      <c r="F614" s="15"/>
      <c r="G614" s="15"/>
    </row>
    <row r="615" spans="6:7" x14ac:dyDescent="0.2">
      <c r="F615" s="15"/>
      <c r="G615" s="15"/>
    </row>
    <row r="616" spans="6:7" x14ac:dyDescent="0.2">
      <c r="F616" s="15"/>
      <c r="G616" s="15"/>
    </row>
    <row r="617" spans="6:7" x14ac:dyDescent="0.2">
      <c r="F617" s="15"/>
      <c r="G617" s="15"/>
    </row>
    <row r="618" spans="6:7" x14ac:dyDescent="0.2">
      <c r="F618" s="15"/>
      <c r="G618" s="15"/>
    </row>
    <row r="619" spans="6:7" x14ac:dyDescent="0.2">
      <c r="F619" s="15"/>
      <c r="G619" s="15"/>
    </row>
    <row r="620" spans="6:7" x14ac:dyDescent="0.2">
      <c r="F620" s="15"/>
      <c r="G620" s="15"/>
    </row>
    <row r="621" spans="6:7" x14ac:dyDescent="0.2">
      <c r="F621" s="15"/>
      <c r="G621" s="15"/>
    </row>
    <row r="622" spans="6:7" x14ac:dyDescent="0.2">
      <c r="F622" s="15"/>
      <c r="G622" s="15"/>
    </row>
    <row r="623" spans="6:7" x14ac:dyDescent="0.2">
      <c r="F623" s="15"/>
      <c r="G623" s="15"/>
    </row>
    <row r="624" spans="6:7" x14ac:dyDescent="0.2">
      <c r="F624" s="15"/>
      <c r="G624" s="15"/>
    </row>
    <row r="625" spans="6:7" x14ac:dyDescent="0.2">
      <c r="F625" s="15"/>
      <c r="G625" s="15"/>
    </row>
    <row r="626" spans="6:7" x14ac:dyDescent="0.2">
      <c r="F626" s="15"/>
      <c r="G626" s="15"/>
    </row>
    <row r="627" spans="6:7" x14ac:dyDescent="0.2">
      <c r="F627" s="15"/>
      <c r="G627" s="15"/>
    </row>
    <row r="628" spans="6:7" x14ac:dyDescent="0.2">
      <c r="F628" s="15"/>
      <c r="G628" s="15"/>
    </row>
    <row r="629" spans="6:7" x14ac:dyDescent="0.2">
      <c r="F629" s="15"/>
      <c r="G629" s="15"/>
    </row>
    <row r="630" spans="6:7" x14ac:dyDescent="0.2">
      <c r="F630" s="15"/>
      <c r="G630" s="15"/>
    </row>
    <row r="631" spans="6:7" x14ac:dyDescent="0.2">
      <c r="F631" s="15"/>
      <c r="G631" s="15"/>
    </row>
    <row r="632" spans="6:7" x14ac:dyDescent="0.2">
      <c r="F632" s="15"/>
      <c r="G632" s="15"/>
    </row>
    <row r="633" spans="6:7" x14ac:dyDescent="0.2">
      <c r="F633" s="15"/>
      <c r="G633" s="15"/>
    </row>
    <row r="634" spans="6:7" x14ac:dyDescent="0.2">
      <c r="F634" s="15"/>
      <c r="G634" s="15"/>
    </row>
    <row r="635" spans="6:7" x14ac:dyDescent="0.2">
      <c r="F635" s="15"/>
      <c r="G635" s="15"/>
    </row>
    <row r="636" spans="6:7" x14ac:dyDescent="0.2">
      <c r="F636" s="15"/>
      <c r="G636" s="15"/>
    </row>
    <row r="637" spans="6:7" x14ac:dyDescent="0.2">
      <c r="F637" s="15"/>
      <c r="G637" s="15"/>
    </row>
    <row r="638" spans="6:7" x14ac:dyDescent="0.2">
      <c r="F638" s="15"/>
      <c r="G638" s="15"/>
    </row>
    <row r="639" spans="6:7" x14ac:dyDescent="0.2">
      <c r="F639" s="15"/>
      <c r="G639" s="15"/>
    </row>
    <row r="640" spans="6:7" x14ac:dyDescent="0.2">
      <c r="F640" s="15"/>
      <c r="G640" s="15"/>
    </row>
    <row r="641" spans="6:7" x14ac:dyDescent="0.2">
      <c r="F641" s="15"/>
      <c r="G641" s="15"/>
    </row>
    <row r="642" spans="6:7" x14ac:dyDescent="0.2">
      <c r="F642" s="15"/>
      <c r="G642" s="15"/>
    </row>
    <row r="643" spans="6:7" x14ac:dyDescent="0.2">
      <c r="F643" s="15"/>
      <c r="G643" s="15"/>
    </row>
    <row r="644" spans="6:7" x14ac:dyDescent="0.2">
      <c r="F644" s="15"/>
      <c r="G644" s="15"/>
    </row>
    <row r="645" spans="6:7" x14ac:dyDescent="0.2">
      <c r="F645" s="15"/>
      <c r="G645" s="15"/>
    </row>
    <row r="646" spans="6:7" x14ac:dyDescent="0.2">
      <c r="F646" s="15"/>
      <c r="G646" s="15"/>
    </row>
    <row r="647" spans="6:7" x14ac:dyDescent="0.2">
      <c r="F647" s="15"/>
      <c r="G647" s="15"/>
    </row>
    <row r="648" spans="6:7" x14ac:dyDescent="0.2">
      <c r="F648" s="15"/>
      <c r="G648" s="15"/>
    </row>
    <row r="649" spans="6:7" x14ac:dyDescent="0.2">
      <c r="F649" s="15"/>
      <c r="G649" s="15"/>
    </row>
    <row r="650" spans="6:7" x14ac:dyDescent="0.2">
      <c r="F650" s="15"/>
      <c r="G650" s="15"/>
    </row>
    <row r="651" spans="6:7" x14ac:dyDescent="0.2">
      <c r="F651" s="15"/>
      <c r="G651" s="15"/>
    </row>
    <row r="652" spans="6:7" x14ac:dyDescent="0.2">
      <c r="F652" s="15"/>
      <c r="G652" s="15"/>
    </row>
    <row r="653" spans="6:7" x14ac:dyDescent="0.2">
      <c r="F653" s="15"/>
      <c r="G653" s="15"/>
    </row>
    <row r="654" spans="6:7" x14ac:dyDescent="0.2">
      <c r="F654" s="15"/>
      <c r="G654" s="15"/>
    </row>
    <row r="655" spans="6:7" x14ac:dyDescent="0.2">
      <c r="F655" s="15"/>
      <c r="G655" s="15"/>
    </row>
    <row r="656" spans="6:7" x14ac:dyDescent="0.2">
      <c r="F656" s="15"/>
      <c r="G656" s="15"/>
    </row>
    <row r="657" spans="6:7" x14ac:dyDescent="0.2">
      <c r="F657" s="15"/>
      <c r="G657" s="15"/>
    </row>
    <row r="658" spans="6:7" x14ac:dyDescent="0.2">
      <c r="F658" s="15"/>
      <c r="G658" s="15"/>
    </row>
    <row r="659" spans="6:7" x14ac:dyDescent="0.2">
      <c r="F659" s="15"/>
      <c r="G659" s="15"/>
    </row>
    <row r="660" spans="6:7" x14ac:dyDescent="0.2">
      <c r="F660" s="15"/>
      <c r="G660" s="15"/>
    </row>
    <row r="661" spans="6:7" x14ac:dyDescent="0.2">
      <c r="F661" s="15"/>
      <c r="G661" s="15"/>
    </row>
    <row r="662" spans="6:7" x14ac:dyDescent="0.2">
      <c r="F662" s="15"/>
      <c r="G662" s="15"/>
    </row>
    <row r="663" spans="6:7" x14ac:dyDescent="0.2">
      <c r="F663" s="15"/>
      <c r="G663" s="15"/>
    </row>
    <row r="664" spans="6:7" x14ac:dyDescent="0.2">
      <c r="F664" s="15"/>
      <c r="G664" s="15"/>
    </row>
    <row r="665" spans="6:7" x14ac:dyDescent="0.2">
      <c r="F665" s="15"/>
      <c r="G665" s="15"/>
    </row>
    <row r="666" spans="6:7" x14ac:dyDescent="0.2">
      <c r="F666" s="15"/>
      <c r="G666" s="15"/>
    </row>
    <row r="667" spans="6:7" x14ac:dyDescent="0.2">
      <c r="F667" s="15"/>
      <c r="G667" s="15"/>
    </row>
    <row r="668" spans="6:7" x14ac:dyDescent="0.2">
      <c r="F668" s="15"/>
      <c r="G668" s="15"/>
    </row>
    <row r="669" spans="6:7" x14ac:dyDescent="0.2">
      <c r="F669" s="15"/>
      <c r="G669" s="15"/>
    </row>
    <row r="670" spans="6:7" x14ac:dyDescent="0.2">
      <c r="F670" s="15"/>
      <c r="G670" s="15"/>
    </row>
    <row r="671" spans="6:7" x14ac:dyDescent="0.2">
      <c r="F671" s="15"/>
      <c r="G671" s="15"/>
    </row>
    <row r="672" spans="6:7" x14ac:dyDescent="0.2">
      <c r="F672" s="15"/>
      <c r="G672" s="15"/>
    </row>
    <row r="673" spans="6:7" x14ac:dyDescent="0.2">
      <c r="F673" s="15"/>
      <c r="G673" s="15"/>
    </row>
    <row r="674" spans="6:7" x14ac:dyDescent="0.2">
      <c r="F674" s="15"/>
      <c r="G674" s="15"/>
    </row>
    <row r="675" spans="6:7" x14ac:dyDescent="0.2">
      <c r="F675" s="15"/>
      <c r="G675" s="15"/>
    </row>
    <row r="676" spans="6:7" x14ac:dyDescent="0.2">
      <c r="F676" s="15"/>
      <c r="G676" s="15"/>
    </row>
    <row r="677" spans="6:7" x14ac:dyDescent="0.2">
      <c r="F677" s="15"/>
      <c r="G677" s="15"/>
    </row>
    <row r="678" spans="6:7" x14ac:dyDescent="0.2">
      <c r="F678" s="15"/>
      <c r="G678" s="15"/>
    </row>
    <row r="679" spans="6:7" x14ac:dyDescent="0.2">
      <c r="F679" s="15"/>
      <c r="G679" s="15"/>
    </row>
    <row r="680" spans="6:7" x14ac:dyDescent="0.2">
      <c r="F680" s="15"/>
      <c r="G680" s="15"/>
    </row>
    <row r="681" spans="6:7" x14ac:dyDescent="0.2">
      <c r="F681" s="15"/>
      <c r="G681" s="15"/>
    </row>
    <row r="682" spans="6:7" x14ac:dyDescent="0.2">
      <c r="F682" s="15"/>
      <c r="G682" s="15"/>
    </row>
    <row r="683" spans="6:7" x14ac:dyDescent="0.2">
      <c r="F683" s="15"/>
      <c r="G683" s="15"/>
    </row>
    <row r="684" spans="6:7" x14ac:dyDescent="0.2">
      <c r="F684" s="15"/>
      <c r="G684" s="15"/>
    </row>
    <row r="685" spans="6:7" x14ac:dyDescent="0.2">
      <c r="F685" s="15"/>
      <c r="G685" s="15"/>
    </row>
    <row r="686" spans="6:7" x14ac:dyDescent="0.2">
      <c r="F686" s="15"/>
      <c r="G686" s="15"/>
    </row>
    <row r="687" spans="6:7" x14ac:dyDescent="0.2">
      <c r="F687" s="15"/>
      <c r="G687" s="15"/>
    </row>
    <row r="688" spans="6:7" x14ac:dyDescent="0.2">
      <c r="F688" s="15"/>
      <c r="G688" s="15"/>
    </row>
    <row r="689" spans="6:7" x14ac:dyDescent="0.2">
      <c r="F689" s="15"/>
      <c r="G689" s="15"/>
    </row>
    <row r="690" spans="6:7" x14ac:dyDescent="0.2">
      <c r="F690" s="15"/>
      <c r="G690" s="15"/>
    </row>
    <row r="691" spans="6:7" x14ac:dyDescent="0.2">
      <c r="F691" s="15"/>
      <c r="G691" s="15"/>
    </row>
    <row r="692" spans="6:7" x14ac:dyDescent="0.2">
      <c r="F692" s="15"/>
      <c r="G692" s="15"/>
    </row>
    <row r="693" spans="6:7" x14ac:dyDescent="0.2">
      <c r="F693" s="15"/>
      <c r="G693" s="15"/>
    </row>
    <row r="694" spans="6:7" x14ac:dyDescent="0.2">
      <c r="F694" s="15"/>
      <c r="G694" s="15"/>
    </row>
    <row r="695" spans="6:7" x14ac:dyDescent="0.2">
      <c r="F695" s="15"/>
      <c r="G695" s="15"/>
    </row>
    <row r="696" spans="6:7" x14ac:dyDescent="0.2">
      <c r="F696" s="15"/>
      <c r="G696" s="15"/>
    </row>
    <row r="697" spans="6:7" x14ac:dyDescent="0.2">
      <c r="F697" s="15"/>
      <c r="G697" s="15"/>
    </row>
    <row r="698" spans="6:7" x14ac:dyDescent="0.2">
      <c r="F698" s="15"/>
      <c r="G698" s="15"/>
    </row>
    <row r="699" spans="6:7" x14ac:dyDescent="0.2">
      <c r="F699" s="15"/>
      <c r="G699" s="15"/>
    </row>
    <row r="700" spans="6:7" x14ac:dyDescent="0.2">
      <c r="F700" s="15"/>
      <c r="G700" s="15"/>
    </row>
    <row r="701" spans="6:7" x14ac:dyDescent="0.2">
      <c r="F701" s="15"/>
      <c r="G701" s="15"/>
    </row>
    <row r="702" spans="6:7" x14ac:dyDescent="0.2">
      <c r="F702" s="15"/>
      <c r="G702" s="15"/>
    </row>
    <row r="703" spans="6:7" x14ac:dyDescent="0.2">
      <c r="F703" s="15"/>
      <c r="G703" s="15"/>
    </row>
    <row r="704" spans="6:7" x14ac:dyDescent="0.2">
      <c r="F704" s="15"/>
      <c r="G704" s="15"/>
    </row>
    <row r="705" spans="6:7" x14ac:dyDescent="0.2">
      <c r="F705" s="15"/>
      <c r="G705" s="15"/>
    </row>
    <row r="706" spans="6:7" x14ac:dyDescent="0.2">
      <c r="F706" s="15"/>
      <c r="G706" s="15"/>
    </row>
    <row r="707" spans="6:7" x14ac:dyDescent="0.2">
      <c r="F707" s="15"/>
      <c r="G707" s="15"/>
    </row>
    <row r="708" spans="6:7" x14ac:dyDescent="0.2">
      <c r="F708" s="15"/>
      <c r="G708" s="15"/>
    </row>
    <row r="709" spans="6:7" x14ac:dyDescent="0.2">
      <c r="F709" s="15"/>
      <c r="G709" s="15"/>
    </row>
    <row r="710" spans="6:7" x14ac:dyDescent="0.2">
      <c r="F710" s="15"/>
      <c r="G710" s="15"/>
    </row>
    <row r="711" spans="6:7" x14ac:dyDescent="0.2">
      <c r="F711" s="15"/>
      <c r="G711" s="15"/>
    </row>
    <row r="712" spans="6:7" x14ac:dyDescent="0.2">
      <c r="F712" s="15"/>
      <c r="G712" s="15"/>
    </row>
    <row r="713" spans="6:7" x14ac:dyDescent="0.2">
      <c r="F713" s="15"/>
      <c r="G713" s="15"/>
    </row>
    <row r="714" spans="6:7" x14ac:dyDescent="0.2">
      <c r="F714" s="15"/>
      <c r="G714" s="15"/>
    </row>
    <row r="715" spans="6:7" x14ac:dyDescent="0.2">
      <c r="F715" s="15"/>
      <c r="G715" s="15"/>
    </row>
    <row r="716" spans="6:7" x14ac:dyDescent="0.2">
      <c r="F716" s="15"/>
      <c r="G716" s="15"/>
    </row>
    <row r="717" spans="6:7" x14ac:dyDescent="0.2">
      <c r="F717" s="15"/>
      <c r="G717" s="15"/>
    </row>
    <row r="718" spans="6:7" x14ac:dyDescent="0.2">
      <c r="F718" s="15"/>
      <c r="G718" s="15"/>
    </row>
    <row r="719" spans="6:7" x14ac:dyDescent="0.2">
      <c r="F719" s="15"/>
      <c r="G719" s="15"/>
    </row>
    <row r="720" spans="6:7" x14ac:dyDescent="0.2">
      <c r="F720" s="15"/>
      <c r="G720" s="15"/>
    </row>
    <row r="721" spans="6:7" x14ac:dyDescent="0.2">
      <c r="F721" s="15"/>
      <c r="G721" s="15"/>
    </row>
    <row r="722" spans="6:7" x14ac:dyDescent="0.2">
      <c r="F722" s="15"/>
      <c r="G722" s="15"/>
    </row>
    <row r="723" spans="6:7" x14ac:dyDescent="0.2">
      <c r="F723" s="15"/>
      <c r="G723" s="15"/>
    </row>
    <row r="724" spans="6:7" x14ac:dyDescent="0.2">
      <c r="F724" s="15"/>
      <c r="G724" s="15"/>
    </row>
    <row r="725" spans="6:7" x14ac:dyDescent="0.2">
      <c r="F725" s="15"/>
      <c r="G725" s="15"/>
    </row>
    <row r="726" spans="6:7" x14ac:dyDescent="0.2">
      <c r="F726" s="15"/>
      <c r="G726" s="15"/>
    </row>
    <row r="727" spans="6:7" x14ac:dyDescent="0.2">
      <c r="F727" s="15"/>
      <c r="G727" s="15"/>
    </row>
    <row r="728" spans="6:7" x14ac:dyDescent="0.2">
      <c r="F728" s="15"/>
      <c r="G728" s="15"/>
    </row>
    <row r="729" spans="6:7" x14ac:dyDescent="0.2">
      <c r="F729" s="15"/>
      <c r="G729" s="15"/>
    </row>
    <row r="730" spans="6:7" x14ac:dyDescent="0.2">
      <c r="F730" s="15"/>
      <c r="G730" s="15"/>
    </row>
    <row r="731" spans="6:7" x14ac:dyDescent="0.2">
      <c r="F731" s="15"/>
      <c r="G731" s="15"/>
    </row>
    <row r="732" spans="6:7" x14ac:dyDescent="0.2">
      <c r="F732" s="15"/>
      <c r="G732" s="15"/>
    </row>
    <row r="733" spans="6:7" x14ac:dyDescent="0.2">
      <c r="F733" s="15"/>
      <c r="G733" s="15"/>
    </row>
    <row r="734" spans="6:7" x14ac:dyDescent="0.2">
      <c r="F734" s="15"/>
      <c r="G734" s="15"/>
    </row>
    <row r="735" spans="6:7" x14ac:dyDescent="0.2">
      <c r="F735" s="15"/>
      <c r="G735" s="15"/>
    </row>
    <row r="736" spans="6:7" x14ac:dyDescent="0.2">
      <c r="F736" s="15"/>
      <c r="G736" s="15"/>
    </row>
    <row r="737" spans="6:7" x14ac:dyDescent="0.2">
      <c r="F737" s="15"/>
      <c r="G737" s="15"/>
    </row>
    <row r="738" spans="6:7" x14ac:dyDescent="0.2">
      <c r="F738" s="15"/>
      <c r="G738" s="15"/>
    </row>
    <row r="739" spans="6:7" x14ac:dyDescent="0.2">
      <c r="F739" s="15"/>
      <c r="G739" s="15"/>
    </row>
    <row r="740" spans="6:7" x14ac:dyDescent="0.2">
      <c r="F740" s="15"/>
      <c r="G740" s="15"/>
    </row>
    <row r="741" spans="6:7" x14ac:dyDescent="0.2">
      <c r="F741" s="15"/>
      <c r="G741" s="15"/>
    </row>
    <row r="742" spans="6:7" x14ac:dyDescent="0.2">
      <c r="F742" s="15"/>
      <c r="G742" s="15"/>
    </row>
    <row r="743" spans="6:7" x14ac:dyDescent="0.2">
      <c r="F743" s="15"/>
      <c r="G743" s="15"/>
    </row>
    <row r="744" spans="6:7" x14ac:dyDescent="0.2">
      <c r="F744" s="15"/>
      <c r="G744" s="15"/>
    </row>
    <row r="745" spans="6:7" x14ac:dyDescent="0.2">
      <c r="F745" s="15"/>
      <c r="G745" s="15"/>
    </row>
    <row r="746" spans="6:7" x14ac:dyDescent="0.2">
      <c r="F746" s="15"/>
      <c r="G746" s="15"/>
    </row>
    <row r="747" spans="6:7" x14ac:dyDescent="0.2">
      <c r="F747" s="15"/>
      <c r="G747" s="15"/>
    </row>
    <row r="748" spans="6:7" x14ac:dyDescent="0.2">
      <c r="F748" s="15"/>
      <c r="G748" s="15"/>
    </row>
    <row r="749" spans="6:7" x14ac:dyDescent="0.2">
      <c r="F749" s="15"/>
      <c r="G749" s="15"/>
    </row>
    <row r="750" spans="6:7" x14ac:dyDescent="0.2">
      <c r="F750" s="15"/>
      <c r="G750" s="15"/>
    </row>
    <row r="751" spans="6:7" x14ac:dyDescent="0.2">
      <c r="F751" s="15"/>
      <c r="G751" s="15"/>
    </row>
    <row r="752" spans="6:7" x14ac:dyDescent="0.2">
      <c r="F752" s="15"/>
      <c r="G752" s="15"/>
    </row>
    <row r="753" spans="6:7" x14ac:dyDescent="0.2">
      <c r="F753" s="15"/>
      <c r="G753" s="15"/>
    </row>
    <row r="754" spans="6:7" x14ac:dyDescent="0.2">
      <c r="F754" s="15"/>
      <c r="G754" s="15"/>
    </row>
    <row r="755" spans="6:7" x14ac:dyDescent="0.2">
      <c r="F755" s="15"/>
      <c r="G755" s="15"/>
    </row>
    <row r="756" spans="6:7" x14ac:dyDescent="0.2">
      <c r="F756" s="15"/>
      <c r="G756" s="15"/>
    </row>
    <row r="757" spans="6:7" x14ac:dyDescent="0.2">
      <c r="F757" s="15"/>
      <c r="G757" s="15"/>
    </row>
    <row r="758" spans="6:7" x14ac:dyDescent="0.2">
      <c r="F758" s="15"/>
      <c r="G758" s="15"/>
    </row>
    <row r="759" spans="6:7" x14ac:dyDescent="0.2">
      <c r="F759" s="15"/>
      <c r="G759" s="15"/>
    </row>
    <row r="760" spans="6:7" x14ac:dyDescent="0.2">
      <c r="F760" s="15"/>
      <c r="G760" s="15"/>
    </row>
    <row r="761" spans="6:7" x14ac:dyDescent="0.2">
      <c r="F761" s="15"/>
      <c r="G761" s="15"/>
    </row>
    <row r="762" spans="6:7" x14ac:dyDescent="0.2">
      <c r="F762" s="15"/>
      <c r="G762" s="15"/>
    </row>
    <row r="763" spans="6:7" x14ac:dyDescent="0.2">
      <c r="F763" s="15"/>
      <c r="G763" s="15"/>
    </row>
    <row r="764" spans="6:7" x14ac:dyDescent="0.2">
      <c r="F764" s="15"/>
      <c r="G764" s="15"/>
    </row>
    <row r="765" spans="6:7" x14ac:dyDescent="0.2">
      <c r="F765" s="15"/>
      <c r="G765" s="15"/>
    </row>
    <row r="766" spans="6:7" x14ac:dyDescent="0.2">
      <c r="F766" s="15"/>
      <c r="G766" s="15"/>
    </row>
    <row r="767" spans="6:7" x14ac:dyDescent="0.2">
      <c r="F767" s="15"/>
      <c r="G767" s="15"/>
    </row>
    <row r="768" spans="6:7" x14ac:dyDescent="0.2">
      <c r="F768" s="15"/>
      <c r="G768" s="15"/>
    </row>
    <row r="769" spans="6:7" x14ac:dyDescent="0.2">
      <c r="F769" s="15"/>
      <c r="G769" s="15"/>
    </row>
    <row r="770" spans="6:7" x14ac:dyDescent="0.2">
      <c r="F770" s="15"/>
      <c r="G770" s="15"/>
    </row>
    <row r="771" spans="6:7" x14ac:dyDescent="0.2">
      <c r="F771" s="15"/>
      <c r="G771" s="15"/>
    </row>
    <row r="772" spans="6:7" x14ac:dyDescent="0.2">
      <c r="F772" s="15"/>
      <c r="G772" s="15"/>
    </row>
    <row r="773" spans="6:7" x14ac:dyDescent="0.2">
      <c r="F773" s="15"/>
      <c r="G773" s="15"/>
    </row>
    <row r="774" spans="6:7" x14ac:dyDescent="0.2">
      <c r="F774" s="15"/>
      <c r="G774" s="15"/>
    </row>
    <row r="775" spans="6:7" x14ac:dyDescent="0.2">
      <c r="F775" s="15"/>
      <c r="G775" s="15"/>
    </row>
    <row r="776" spans="6:7" x14ac:dyDescent="0.2">
      <c r="F776" s="15"/>
      <c r="G776" s="15"/>
    </row>
    <row r="777" spans="6:7" x14ac:dyDescent="0.2">
      <c r="F777" s="15"/>
      <c r="G777" s="15"/>
    </row>
    <row r="778" spans="6:7" x14ac:dyDescent="0.2">
      <c r="F778" s="15"/>
      <c r="G778" s="15"/>
    </row>
    <row r="779" spans="6:7" x14ac:dyDescent="0.2">
      <c r="F779" s="15"/>
      <c r="G779" s="15"/>
    </row>
    <row r="780" spans="6:7" x14ac:dyDescent="0.2">
      <c r="F780" s="15"/>
      <c r="G780" s="15"/>
    </row>
    <row r="781" spans="6:7" x14ac:dyDescent="0.2">
      <c r="F781" s="15"/>
      <c r="G781" s="15"/>
    </row>
    <row r="782" spans="6:7" x14ac:dyDescent="0.2">
      <c r="F782" s="15"/>
      <c r="G782" s="15"/>
    </row>
    <row r="783" spans="6:7" x14ac:dyDescent="0.2">
      <c r="F783" s="15"/>
      <c r="G783" s="15"/>
    </row>
    <row r="784" spans="6:7" x14ac:dyDescent="0.2">
      <c r="F784" s="15"/>
      <c r="G784" s="15"/>
    </row>
    <row r="785" spans="6:7" x14ac:dyDescent="0.2">
      <c r="F785" s="15"/>
      <c r="G785" s="15"/>
    </row>
    <row r="786" spans="6:7" x14ac:dyDescent="0.2">
      <c r="F786" s="15"/>
      <c r="G786" s="15"/>
    </row>
    <row r="787" spans="6:7" x14ac:dyDescent="0.2">
      <c r="F787" s="15"/>
      <c r="G787" s="15"/>
    </row>
    <row r="788" spans="6:7" x14ac:dyDescent="0.2">
      <c r="F788" s="15"/>
      <c r="G788" s="15"/>
    </row>
    <row r="789" spans="6:7" x14ac:dyDescent="0.2">
      <c r="F789" s="15"/>
      <c r="G789" s="15"/>
    </row>
    <row r="790" spans="6:7" x14ac:dyDescent="0.2">
      <c r="F790" s="15"/>
      <c r="G790" s="15"/>
    </row>
    <row r="791" spans="6:7" x14ac:dyDescent="0.2">
      <c r="F791" s="15"/>
      <c r="G791" s="15"/>
    </row>
    <row r="792" spans="6:7" x14ac:dyDescent="0.2">
      <c r="F792" s="15"/>
      <c r="G792" s="15"/>
    </row>
    <row r="793" spans="6:7" x14ac:dyDescent="0.2">
      <c r="F793" s="15"/>
      <c r="G793" s="15"/>
    </row>
    <row r="794" spans="6:7" x14ac:dyDescent="0.2">
      <c r="F794" s="15"/>
      <c r="G794" s="15"/>
    </row>
    <row r="795" spans="6:7" x14ac:dyDescent="0.2">
      <c r="F795" s="15"/>
      <c r="G795" s="15"/>
    </row>
    <row r="796" spans="6:7" x14ac:dyDescent="0.2">
      <c r="F796" s="15"/>
      <c r="G796" s="15"/>
    </row>
    <row r="797" spans="6:7" x14ac:dyDescent="0.2">
      <c r="F797" s="15"/>
      <c r="G797" s="15"/>
    </row>
    <row r="798" spans="6:7" x14ac:dyDescent="0.2">
      <c r="F798" s="15"/>
      <c r="G798" s="15"/>
    </row>
    <row r="799" spans="6:7" x14ac:dyDescent="0.2">
      <c r="F799" s="15"/>
      <c r="G799" s="15"/>
    </row>
    <row r="800" spans="6:7" x14ac:dyDescent="0.2">
      <c r="F800" s="15"/>
      <c r="G800" s="15"/>
    </row>
    <row r="801" spans="6:7" x14ac:dyDescent="0.2">
      <c r="F801" s="15"/>
      <c r="G801" s="15"/>
    </row>
    <row r="802" spans="6:7" x14ac:dyDescent="0.2">
      <c r="F802" s="15"/>
      <c r="G802" s="15"/>
    </row>
    <row r="803" spans="6:7" x14ac:dyDescent="0.2">
      <c r="F803" s="15"/>
      <c r="G803" s="15"/>
    </row>
    <row r="804" spans="6:7" x14ac:dyDescent="0.2">
      <c r="F804" s="15"/>
      <c r="G804" s="15"/>
    </row>
    <row r="805" spans="6:7" x14ac:dyDescent="0.2">
      <c r="F805" s="15"/>
      <c r="G805" s="15"/>
    </row>
    <row r="806" spans="6:7" x14ac:dyDescent="0.2">
      <c r="F806" s="15"/>
      <c r="G806" s="15"/>
    </row>
    <row r="807" spans="6:7" x14ac:dyDescent="0.2">
      <c r="F807" s="15"/>
      <c r="G807" s="15"/>
    </row>
    <row r="808" spans="6:7" x14ac:dyDescent="0.2">
      <c r="F808" s="15"/>
      <c r="G808" s="15"/>
    </row>
    <row r="809" spans="6:7" x14ac:dyDescent="0.2">
      <c r="F809" s="15"/>
      <c r="G809" s="15"/>
    </row>
    <row r="810" spans="6:7" x14ac:dyDescent="0.2">
      <c r="F810" s="15"/>
      <c r="G810" s="15"/>
    </row>
    <row r="811" spans="6:7" x14ac:dyDescent="0.2">
      <c r="F811" s="15"/>
      <c r="G811" s="15"/>
    </row>
    <row r="812" spans="6:7" x14ac:dyDescent="0.2">
      <c r="F812" s="15"/>
      <c r="G812" s="15"/>
    </row>
    <row r="813" spans="6:7" x14ac:dyDescent="0.2">
      <c r="F813" s="15"/>
      <c r="G813" s="15"/>
    </row>
    <row r="814" spans="6:7" x14ac:dyDescent="0.2">
      <c r="F814" s="15"/>
      <c r="G814" s="15"/>
    </row>
    <row r="815" spans="6:7" x14ac:dyDescent="0.2">
      <c r="F815" s="15"/>
      <c r="G815" s="15"/>
    </row>
    <row r="816" spans="6:7" x14ac:dyDescent="0.2">
      <c r="F816" s="15"/>
      <c r="G816" s="15"/>
    </row>
    <row r="817" spans="6:7" x14ac:dyDescent="0.2">
      <c r="F817" s="15"/>
      <c r="G817" s="15"/>
    </row>
    <row r="818" spans="6:7" x14ac:dyDescent="0.2">
      <c r="F818" s="15"/>
      <c r="G818" s="15"/>
    </row>
    <row r="819" spans="6:7" x14ac:dyDescent="0.2">
      <c r="F819" s="15"/>
      <c r="G819" s="15"/>
    </row>
    <row r="820" spans="6:7" x14ac:dyDescent="0.2">
      <c r="F820" s="15"/>
      <c r="G820" s="15"/>
    </row>
    <row r="821" spans="6:7" x14ac:dyDescent="0.2">
      <c r="F821" s="15"/>
      <c r="G821" s="15"/>
    </row>
    <row r="822" spans="6:7" x14ac:dyDescent="0.2">
      <c r="F822" s="15"/>
      <c r="G822" s="15"/>
    </row>
    <row r="823" spans="6:7" x14ac:dyDescent="0.2">
      <c r="F823" s="15"/>
      <c r="G823" s="15"/>
    </row>
    <row r="824" spans="6:7" x14ac:dyDescent="0.2">
      <c r="F824" s="15"/>
      <c r="G824" s="15"/>
    </row>
    <row r="825" spans="6:7" x14ac:dyDescent="0.2">
      <c r="F825" s="15"/>
      <c r="G825" s="15"/>
    </row>
    <row r="826" spans="6:7" x14ac:dyDescent="0.2">
      <c r="F826" s="15"/>
      <c r="G826" s="15"/>
    </row>
    <row r="827" spans="6:7" x14ac:dyDescent="0.2">
      <c r="F827" s="15"/>
      <c r="G827" s="15"/>
    </row>
    <row r="828" spans="6:7" x14ac:dyDescent="0.2">
      <c r="F828" s="15"/>
      <c r="G828" s="15"/>
    </row>
    <row r="829" spans="6:7" x14ac:dyDescent="0.2">
      <c r="F829" s="15"/>
      <c r="G829" s="15"/>
    </row>
    <row r="830" spans="6:7" x14ac:dyDescent="0.2">
      <c r="F830" s="15"/>
      <c r="G830" s="15"/>
    </row>
    <row r="831" spans="6:7" x14ac:dyDescent="0.2">
      <c r="F831" s="15"/>
      <c r="G831" s="15"/>
    </row>
    <row r="832" spans="6:7" x14ac:dyDescent="0.2">
      <c r="F832" s="15"/>
      <c r="G832" s="15"/>
    </row>
    <row r="833" spans="6:7" x14ac:dyDescent="0.2">
      <c r="F833" s="15"/>
      <c r="G833" s="15"/>
    </row>
    <row r="834" spans="6:7" x14ac:dyDescent="0.2">
      <c r="F834" s="15"/>
      <c r="G834" s="15"/>
    </row>
    <row r="835" spans="6:7" x14ac:dyDescent="0.2">
      <c r="F835" s="15"/>
      <c r="G835" s="15"/>
    </row>
    <row r="836" spans="6:7" x14ac:dyDescent="0.2">
      <c r="F836" s="15"/>
      <c r="G836" s="15"/>
    </row>
    <row r="837" spans="6:7" x14ac:dyDescent="0.2">
      <c r="F837" s="15"/>
      <c r="G837" s="15"/>
    </row>
    <row r="838" spans="6:7" x14ac:dyDescent="0.2">
      <c r="F838" s="15"/>
      <c r="G838" s="15"/>
    </row>
    <row r="839" spans="6:7" x14ac:dyDescent="0.2">
      <c r="F839" s="15"/>
      <c r="G839" s="15"/>
    </row>
    <row r="840" spans="6:7" x14ac:dyDescent="0.2">
      <c r="F840" s="15"/>
      <c r="G840" s="15"/>
    </row>
    <row r="841" spans="6:7" x14ac:dyDescent="0.2">
      <c r="F841" s="15"/>
      <c r="G841" s="15"/>
    </row>
    <row r="842" spans="6:7" x14ac:dyDescent="0.2">
      <c r="F842" s="15"/>
      <c r="G842" s="15"/>
    </row>
    <row r="843" spans="6:7" x14ac:dyDescent="0.2">
      <c r="F843" s="15"/>
      <c r="G843" s="15"/>
    </row>
    <row r="844" spans="6:7" x14ac:dyDescent="0.2">
      <c r="F844" s="15"/>
      <c r="G844" s="15"/>
    </row>
    <row r="845" spans="6:7" x14ac:dyDescent="0.2">
      <c r="F845" s="15"/>
      <c r="G845" s="15"/>
    </row>
    <row r="846" spans="6:7" x14ac:dyDescent="0.2">
      <c r="F846" s="15"/>
      <c r="G846" s="15"/>
    </row>
    <row r="847" spans="6:7" x14ac:dyDescent="0.2">
      <c r="F847" s="15"/>
      <c r="G847" s="15"/>
    </row>
    <row r="848" spans="6:7" x14ac:dyDescent="0.2">
      <c r="F848" s="15"/>
      <c r="G848" s="15"/>
    </row>
    <row r="849" spans="6:7" x14ac:dyDescent="0.2">
      <c r="F849" s="15"/>
      <c r="G849" s="15"/>
    </row>
    <row r="850" spans="6:7" x14ac:dyDescent="0.2">
      <c r="F850" s="15"/>
      <c r="G850" s="15"/>
    </row>
    <row r="851" spans="6:7" x14ac:dyDescent="0.2">
      <c r="F851" s="15"/>
      <c r="G851" s="15"/>
    </row>
    <row r="852" spans="6:7" x14ac:dyDescent="0.2">
      <c r="F852" s="15"/>
      <c r="G852" s="15"/>
    </row>
    <row r="853" spans="6:7" x14ac:dyDescent="0.2">
      <c r="F853" s="15"/>
      <c r="G853" s="15"/>
    </row>
    <row r="854" spans="6:7" x14ac:dyDescent="0.2">
      <c r="F854" s="15"/>
      <c r="G854" s="15"/>
    </row>
    <row r="855" spans="6:7" x14ac:dyDescent="0.2">
      <c r="F855" s="15"/>
      <c r="G855" s="15"/>
    </row>
    <row r="856" spans="6:7" x14ac:dyDescent="0.2">
      <c r="F856" s="15"/>
      <c r="G856" s="15"/>
    </row>
    <row r="857" spans="6:7" x14ac:dyDescent="0.2">
      <c r="F857" s="15"/>
      <c r="G857" s="15"/>
    </row>
    <row r="858" spans="6:7" x14ac:dyDescent="0.2">
      <c r="F858" s="15"/>
      <c r="G858" s="15"/>
    </row>
    <row r="859" spans="6:7" x14ac:dyDescent="0.2">
      <c r="F859" s="15"/>
      <c r="G859" s="15"/>
    </row>
    <row r="860" spans="6:7" x14ac:dyDescent="0.2">
      <c r="F860" s="15"/>
      <c r="G860" s="15"/>
    </row>
    <row r="861" spans="6:7" x14ac:dyDescent="0.2">
      <c r="F861" s="15"/>
      <c r="G861" s="15"/>
    </row>
    <row r="862" spans="6:7" x14ac:dyDescent="0.2">
      <c r="F862" s="15"/>
      <c r="G862" s="15"/>
    </row>
    <row r="863" spans="6:7" x14ac:dyDescent="0.2">
      <c r="F863" s="15"/>
      <c r="G863" s="15"/>
    </row>
    <row r="864" spans="6:7" x14ac:dyDescent="0.2">
      <c r="F864" s="15"/>
      <c r="G864" s="15"/>
    </row>
    <row r="865" spans="6:7" x14ac:dyDescent="0.2">
      <c r="F865" s="15"/>
      <c r="G865" s="15"/>
    </row>
    <row r="866" spans="6:7" x14ac:dyDescent="0.2">
      <c r="F866" s="15"/>
      <c r="G866" s="15"/>
    </row>
    <row r="867" spans="6:7" x14ac:dyDescent="0.2">
      <c r="F867" s="15"/>
      <c r="G867" s="15"/>
    </row>
    <row r="868" spans="6:7" x14ac:dyDescent="0.2">
      <c r="F868" s="15"/>
      <c r="G868" s="15"/>
    </row>
    <row r="869" spans="6:7" x14ac:dyDescent="0.2">
      <c r="F869" s="15"/>
      <c r="G869" s="15"/>
    </row>
    <row r="870" spans="6:7" x14ac:dyDescent="0.2">
      <c r="F870" s="15"/>
      <c r="G870" s="15"/>
    </row>
    <row r="871" spans="6:7" x14ac:dyDescent="0.2">
      <c r="F871" s="15"/>
      <c r="G871" s="15"/>
    </row>
    <row r="872" spans="6:7" x14ac:dyDescent="0.2">
      <c r="F872" s="15"/>
      <c r="G872" s="15"/>
    </row>
    <row r="873" spans="6:7" x14ac:dyDescent="0.2">
      <c r="F873" s="15"/>
      <c r="G873" s="15"/>
    </row>
    <row r="874" spans="6:7" x14ac:dyDescent="0.2">
      <c r="F874" s="15"/>
      <c r="G874" s="15"/>
    </row>
    <row r="875" spans="6:7" x14ac:dyDescent="0.2">
      <c r="F875" s="15"/>
      <c r="G875" s="15"/>
    </row>
    <row r="876" spans="6:7" x14ac:dyDescent="0.2">
      <c r="F876" s="15"/>
      <c r="G876" s="15"/>
    </row>
    <row r="877" spans="6:7" x14ac:dyDescent="0.2">
      <c r="F877" s="15"/>
      <c r="G877" s="15"/>
    </row>
    <row r="878" spans="6:7" x14ac:dyDescent="0.2">
      <c r="F878" s="15"/>
      <c r="G878" s="15"/>
    </row>
    <row r="879" spans="6:7" x14ac:dyDescent="0.2">
      <c r="F879" s="15"/>
      <c r="G879" s="15"/>
    </row>
    <row r="880" spans="6:7" x14ac:dyDescent="0.2">
      <c r="F880" s="15"/>
      <c r="G880" s="15"/>
    </row>
    <row r="881" spans="6:7" x14ac:dyDescent="0.2">
      <c r="F881" s="15"/>
      <c r="G881" s="15"/>
    </row>
    <row r="882" spans="6:7" x14ac:dyDescent="0.2">
      <c r="F882" s="15"/>
      <c r="G882" s="15"/>
    </row>
    <row r="883" spans="6:7" x14ac:dyDescent="0.2">
      <c r="F883" s="15"/>
      <c r="G883" s="15"/>
    </row>
    <row r="884" spans="6:7" x14ac:dyDescent="0.2">
      <c r="F884" s="15"/>
      <c r="G884" s="15"/>
    </row>
    <row r="885" spans="6:7" x14ac:dyDescent="0.2">
      <c r="F885" s="15"/>
      <c r="G885" s="15"/>
    </row>
    <row r="886" spans="6:7" x14ac:dyDescent="0.2">
      <c r="F886" s="15"/>
      <c r="G886" s="15"/>
    </row>
    <row r="887" spans="6:7" x14ac:dyDescent="0.2">
      <c r="F887" s="15"/>
      <c r="G887" s="15"/>
    </row>
    <row r="888" spans="6:7" x14ac:dyDescent="0.2">
      <c r="F888" s="15"/>
      <c r="G888" s="15"/>
    </row>
    <row r="889" spans="6:7" x14ac:dyDescent="0.2">
      <c r="F889" s="15"/>
      <c r="G889" s="15"/>
    </row>
    <row r="890" spans="6:7" x14ac:dyDescent="0.2">
      <c r="F890" s="15"/>
      <c r="G890" s="15"/>
    </row>
    <row r="891" spans="6:7" x14ac:dyDescent="0.2">
      <c r="F891" s="15"/>
      <c r="G891" s="15"/>
    </row>
    <row r="892" spans="6:7" x14ac:dyDescent="0.2">
      <c r="F892" s="15"/>
      <c r="G892" s="15"/>
    </row>
    <row r="893" spans="6:7" x14ac:dyDescent="0.2">
      <c r="F893" s="15"/>
      <c r="G893" s="15"/>
    </row>
    <row r="894" spans="6:7" x14ac:dyDescent="0.2">
      <c r="F894" s="15"/>
      <c r="G894" s="15"/>
    </row>
    <row r="895" spans="6:7" x14ac:dyDescent="0.2">
      <c r="F895" s="15"/>
      <c r="G895" s="15"/>
    </row>
    <row r="896" spans="6:7" x14ac:dyDescent="0.2">
      <c r="F896" s="15"/>
      <c r="G896" s="15"/>
    </row>
    <row r="897" spans="6:7" x14ac:dyDescent="0.2">
      <c r="F897" s="15"/>
      <c r="G897" s="15"/>
    </row>
    <row r="898" spans="6:7" x14ac:dyDescent="0.2">
      <c r="F898" s="15"/>
      <c r="G898" s="15"/>
    </row>
    <row r="899" spans="6:7" x14ac:dyDescent="0.2">
      <c r="F899" s="15"/>
      <c r="G899" s="15"/>
    </row>
    <row r="900" spans="6:7" x14ac:dyDescent="0.2">
      <c r="F900" s="15"/>
      <c r="G900" s="15"/>
    </row>
    <row r="901" spans="6:7" x14ac:dyDescent="0.2">
      <c r="F901" s="15"/>
      <c r="G901" s="15"/>
    </row>
    <row r="902" spans="6:7" x14ac:dyDescent="0.2">
      <c r="F902" s="15"/>
      <c r="G902" s="15"/>
    </row>
    <row r="903" spans="6:7" x14ac:dyDescent="0.2">
      <c r="F903" s="15"/>
      <c r="G903" s="15"/>
    </row>
    <row r="904" spans="6:7" x14ac:dyDescent="0.2">
      <c r="F904" s="15"/>
      <c r="G904" s="15"/>
    </row>
    <row r="905" spans="6:7" x14ac:dyDescent="0.2">
      <c r="F905" s="15"/>
      <c r="G905" s="15"/>
    </row>
    <row r="906" spans="6:7" x14ac:dyDescent="0.2">
      <c r="F906" s="15"/>
      <c r="G906" s="15"/>
    </row>
    <row r="907" spans="6:7" x14ac:dyDescent="0.2">
      <c r="F907" s="15"/>
      <c r="G907" s="15"/>
    </row>
    <row r="908" spans="6:7" x14ac:dyDescent="0.2">
      <c r="F908" s="15"/>
      <c r="G908" s="15"/>
    </row>
    <row r="909" spans="6:7" x14ac:dyDescent="0.2">
      <c r="F909" s="15"/>
      <c r="G909" s="15"/>
    </row>
    <row r="910" spans="6:7" x14ac:dyDescent="0.2">
      <c r="F910" s="15"/>
      <c r="G910" s="15"/>
    </row>
    <row r="911" spans="6:7" x14ac:dyDescent="0.2">
      <c r="F911" s="15"/>
      <c r="G911" s="15"/>
    </row>
    <row r="912" spans="6:7" x14ac:dyDescent="0.2">
      <c r="F912" s="15"/>
      <c r="G912" s="15"/>
    </row>
    <row r="913" spans="6:7" x14ac:dyDescent="0.2">
      <c r="F913" s="15"/>
      <c r="G913" s="15"/>
    </row>
    <row r="914" spans="6:7" x14ac:dyDescent="0.2">
      <c r="F914" s="15"/>
      <c r="G914" s="15"/>
    </row>
    <row r="915" spans="6:7" x14ac:dyDescent="0.2">
      <c r="F915" s="15"/>
      <c r="G915" s="15"/>
    </row>
    <row r="916" spans="6:7" x14ac:dyDescent="0.2">
      <c r="F916" s="15"/>
      <c r="G916" s="15"/>
    </row>
    <row r="917" spans="6:7" x14ac:dyDescent="0.2">
      <c r="F917" s="15"/>
      <c r="G917" s="15"/>
    </row>
    <row r="918" spans="6:7" x14ac:dyDescent="0.2">
      <c r="F918" s="15"/>
      <c r="G918" s="15"/>
    </row>
    <row r="919" spans="6:7" x14ac:dyDescent="0.2">
      <c r="F919" s="15"/>
      <c r="G919" s="15"/>
    </row>
    <row r="920" spans="6:7" x14ac:dyDescent="0.2">
      <c r="F920" s="15"/>
      <c r="G920" s="15"/>
    </row>
    <row r="921" spans="6:7" x14ac:dyDescent="0.2">
      <c r="F921" s="15"/>
      <c r="G921" s="15"/>
    </row>
    <row r="922" spans="6:7" x14ac:dyDescent="0.2">
      <c r="F922" s="15"/>
      <c r="G922" s="15"/>
    </row>
    <row r="923" spans="6:7" x14ac:dyDescent="0.2">
      <c r="F923" s="15"/>
      <c r="G923" s="15"/>
    </row>
    <row r="924" spans="6:7" x14ac:dyDescent="0.2">
      <c r="F924" s="15"/>
      <c r="G924" s="15"/>
    </row>
    <row r="925" spans="6:7" x14ac:dyDescent="0.2">
      <c r="F925" s="15"/>
      <c r="G925" s="15"/>
    </row>
    <row r="926" spans="6:7" x14ac:dyDescent="0.2">
      <c r="F926" s="15"/>
      <c r="G926" s="15"/>
    </row>
    <row r="927" spans="6:7" x14ac:dyDescent="0.2">
      <c r="F927" s="15"/>
      <c r="G927" s="15"/>
    </row>
    <row r="928" spans="6:7" x14ac:dyDescent="0.2">
      <c r="F928" s="15"/>
      <c r="G928" s="15"/>
    </row>
    <row r="929" spans="6:7" x14ac:dyDescent="0.2">
      <c r="F929" s="15"/>
      <c r="G929" s="15"/>
    </row>
    <row r="930" spans="6:7" x14ac:dyDescent="0.2">
      <c r="F930" s="15"/>
      <c r="G930" s="15"/>
    </row>
    <row r="931" spans="6:7" x14ac:dyDescent="0.2">
      <c r="F931" s="15"/>
      <c r="G931" s="15"/>
    </row>
    <row r="932" spans="6:7" x14ac:dyDescent="0.2">
      <c r="F932" s="15"/>
      <c r="G932" s="15"/>
    </row>
    <row r="933" spans="6:7" x14ac:dyDescent="0.2">
      <c r="F933" s="15"/>
      <c r="G933" s="15"/>
    </row>
    <row r="934" spans="6:7" x14ac:dyDescent="0.2">
      <c r="F934" s="15"/>
      <c r="G934" s="15"/>
    </row>
    <row r="935" spans="6:7" x14ac:dyDescent="0.2">
      <c r="F935" s="15"/>
      <c r="G935" s="15"/>
    </row>
    <row r="936" spans="6:7" x14ac:dyDescent="0.2">
      <c r="F936" s="15"/>
      <c r="G936" s="15"/>
    </row>
    <row r="937" spans="6:7" x14ac:dyDescent="0.2">
      <c r="F937" s="15"/>
      <c r="G937" s="15"/>
    </row>
    <row r="938" spans="6:7" x14ac:dyDescent="0.2">
      <c r="F938" s="15"/>
      <c r="G938" s="15"/>
    </row>
    <row r="939" spans="6:7" x14ac:dyDescent="0.2">
      <c r="F939" s="15"/>
      <c r="G939" s="15"/>
    </row>
    <row r="940" spans="6:7" x14ac:dyDescent="0.2">
      <c r="F940" s="15"/>
      <c r="G940" s="15"/>
    </row>
    <row r="941" spans="6:7" x14ac:dyDescent="0.2">
      <c r="F941" s="15"/>
      <c r="G941" s="15"/>
    </row>
    <row r="942" spans="6:7" x14ac:dyDescent="0.2">
      <c r="F942" s="15"/>
      <c r="G942" s="15"/>
    </row>
    <row r="943" spans="6:7" x14ac:dyDescent="0.2">
      <c r="F943" s="15"/>
      <c r="G943" s="15"/>
    </row>
    <row r="944" spans="6:7" x14ac:dyDescent="0.2">
      <c r="F944" s="15"/>
      <c r="G944" s="15"/>
    </row>
    <row r="945" spans="6:7" x14ac:dyDescent="0.2">
      <c r="F945" s="15"/>
      <c r="G945" s="15"/>
    </row>
    <row r="946" spans="6:7" x14ac:dyDescent="0.2">
      <c r="F946" s="15"/>
      <c r="G946" s="15"/>
    </row>
    <row r="947" spans="6:7" x14ac:dyDescent="0.2">
      <c r="F947" s="15"/>
      <c r="G947" s="15"/>
    </row>
    <row r="948" spans="6:7" x14ac:dyDescent="0.2">
      <c r="F948" s="15"/>
      <c r="G948" s="15"/>
    </row>
    <row r="949" spans="6:7" x14ac:dyDescent="0.2">
      <c r="F949" s="15"/>
      <c r="G949" s="15"/>
    </row>
    <row r="950" spans="6:7" x14ac:dyDescent="0.2">
      <c r="F950" s="15"/>
      <c r="G950" s="15"/>
    </row>
    <row r="951" spans="6:7" x14ac:dyDescent="0.2">
      <c r="F951" s="15"/>
      <c r="G951" s="15"/>
    </row>
    <row r="952" spans="6:7" x14ac:dyDescent="0.2">
      <c r="F952" s="15"/>
      <c r="G952" s="15"/>
    </row>
    <row r="953" spans="6:7" x14ac:dyDescent="0.2">
      <c r="F953" s="15"/>
      <c r="G953" s="15"/>
    </row>
    <row r="954" spans="6:7" x14ac:dyDescent="0.2">
      <c r="F954" s="15"/>
      <c r="G954" s="15"/>
    </row>
    <row r="955" spans="6:7" x14ac:dyDescent="0.2">
      <c r="F955" s="15"/>
      <c r="G955" s="15"/>
    </row>
    <row r="956" spans="6:7" x14ac:dyDescent="0.2">
      <c r="F956" s="15"/>
      <c r="G956" s="15"/>
    </row>
    <row r="957" spans="6:7" x14ac:dyDescent="0.2">
      <c r="F957" s="15"/>
      <c r="G957" s="15"/>
    </row>
    <row r="958" spans="6:7" x14ac:dyDescent="0.2">
      <c r="F958" s="15"/>
      <c r="G958" s="15"/>
    </row>
    <row r="959" spans="6:7" x14ac:dyDescent="0.2">
      <c r="F959" s="15"/>
      <c r="G959" s="15"/>
    </row>
    <row r="960" spans="6:7" x14ac:dyDescent="0.2">
      <c r="F960" s="15"/>
      <c r="G960" s="15"/>
    </row>
    <row r="961" spans="6:7" x14ac:dyDescent="0.2">
      <c r="F961" s="15"/>
      <c r="G961" s="15"/>
    </row>
    <row r="962" spans="6:7" x14ac:dyDescent="0.2">
      <c r="F962" s="15"/>
      <c r="G962" s="15"/>
    </row>
    <row r="963" spans="6:7" x14ac:dyDescent="0.2">
      <c r="F963" s="15"/>
      <c r="G963" s="15"/>
    </row>
    <row r="964" spans="6:7" x14ac:dyDescent="0.2">
      <c r="F964" s="15"/>
      <c r="G964" s="15"/>
    </row>
    <row r="965" spans="6:7" x14ac:dyDescent="0.2">
      <c r="F965" s="15"/>
      <c r="G965" s="15"/>
    </row>
    <row r="966" spans="6:7" x14ac:dyDescent="0.2">
      <c r="F966" s="15"/>
      <c r="G966" s="15"/>
    </row>
    <row r="967" spans="6:7" x14ac:dyDescent="0.2">
      <c r="F967" s="15"/>
      <c r="G967" s="15"/>
    </row>
    <row r="968" spans="6:7" x14ac:dyDescent="0.2">
      <c r="F968" s="15"/>
      <c r="G968" s="15"/>
    </row>
    <row r="969" spans="6:7" x14ac:dyDescent="0.2">
      <c r="F969" s="15"/>
      <c r="G969" s="15"/>
    </row>
    <row r="970" spans="6:7" x14ac:dyDescent="0.2">
      <c r="F970" s="15"/>
      <c r="G970" s="15"/>
    </row>
    <row r="971" spans="6:7" x14ac:dyDescent="0.2">
      <c r="F971" s="15"/>
      <c r="G971" s="15"/>
    </row>
    <row r="972" spans="6:7" x14ac:dyDescent="0.2">
      <c r="F972" s="15"/>
      <c r="G972" s="15"/>
    </row>
    <row r="973" spans="6:7" x14ac:dyDescent="0.2">
      <c r="F973" s="15"/>
      <c r="G973" s="15"/>
    </row>
    <row r="974" spans="6:7" x14ac:dyDescent="0.2">
      <c r="F974" s="15"/>
      <c r="G974" s="15"/>
    </row>
    <row r="975" spans="6:7" x14ac:dyDescent="0.2">
      <c r="F975" s="15"/>
      <c r="G975" s="15"/>
    </row>
    <row r="976" spans="6:7" x14ac:dyDescent="0.2">
      <c r="F976" s="15"/>
      <c r="G976" s="15"/>
    </row>
    <row r="977" spans="6:7" x14ac:dyDescent="0.2">
      <c r="F977" s="15"/>
      <c r="G977" s="15"/>
    </row>
    <row r="978" spans="6:7" x14ac:dyDescent="0.2">
      <c r="F978" s="15"/>
      <c r="G978" s="15"/>
    </row>
    <row r="979" spans="6:7" x14ac:dyDescent="0.2">
      <c r="F979" s="15"/>
      <c r="G979" s="15"/>
    </row>
    <row r="980" spans="6:7" x14ac:dyDescent="0.2">
      <c r="F980" s="15"/>
      <c r="G980" s="15"/>
    </row>
    <row r="981" spans="6:7" x14ac:dyDescent="0.2">
      <c r="F981" s="15"/>
      <c r="G981" s="15"/>
    </row>
    <row r="982" spans="6:7" x14ac:dyDescent="0.2">
      <c r="F982" s="15"/>
      <c r="G982" s="15"/>
    </row>
    <row r="983" spans="6:7" x14ac:dyDescent="0.2">
      <c r="F983" s="15"/>
      <c r="G983" s="15"/>
    </row>
    <row r="984" spans="6:7" x14ac:dyDescent="0.2">
      <c r="F984" s="15"/>
      <c r="G984" s="15"/>
    </row>
    <row r="985" spans="6:7" x14ac:dyDescent="0.2">
      <c r="F985" s="15"/>
      <c r="G985" s="15"/>
    </row>
    <row r="986" spans="6:7" x14ac:dyDescent="0.2">
      <c r="F986" s="15"/>
      <c r="G986" s="15"/>
    </row>
    <row r="987" spans="6:7" x14ac:dyDescent="0.2">
      <c r="F987" s="15"/>
      <c r="G987" s="15"/>
    </row>
    <row r="988" spans="6:7" x14ac:dyDescent="0.2">
      <c r="F988" s="15"/>
      <c r="G988" s="15"/>
    </row>
    <row r="989" spans="6:7" x14ac:dyDescent="0.2">
      <c r="F989" s="15"/>
      <c r="G989" s="15"/>
    </row>
    <row r="990" spans="6:7" x14ac:dyDescent="0.2">
      <c r="F990" s="15"/>
      <c r="G990" s="15"/>
    </row>
    <row r="991" spans="6:7" x14ac:dyDescent="0.2">
      <c r="F991" s="15"/>
      <c r="G991" s="15"/>
    </row>
    <row r="992" spans="6:7" x14ac:dyDescent="0.2">
      <c r="F992" s="15"/>
      <c r="G992" s="15"/>
    </row>
    <row r="993" spans="6:7" x14ac:dyDescent="0.2">
      <c r="F993" s="15"/>
      <c r="G993" s="15"/>
    </row>
    <row r="994" spans="6:7" x14ac:dyDescent="0.2">
      <c r="F994" s="15"/>
      <c r="G994" s="15"/>
    </row>
    <row r="995" spans="6:7" x14ac:dyDescent="0.2">
      <c r="F995" s="15"/>
      <c r="G995" s="15"/>
    </row>
    <row r="996" spans="6:7" x14ac:dyDescent="0.2">
      <c r="F996" s="15"/>
      <c r="G996" s="15"/>
    </row>
    <row r="997" spans="6:7" x14ac:dyDescent="0.2">
      <c r="F997" s="15"/>
      <c r="G997" s="15"/>
    </row>
    <row r="998" spans="6:7" x14ac:dyDescent="0.2">
      <c r="F998" s="15"/>
      <c r="G998" s="15"/>
    </row>
    <row r="999" spans="6:7" x14ac:dyDescent="0.2">
      <c r="F999" s="15"/>
      <c r="G999" s="15"/>
    </row>
    <row r="1000" spans="6:7" x14ac:dyDescent="0.2">
      <c r="F1000" s="15"/>
      <c r="G1000" s="15"/>
    </row>
    <row r="1001" spans="6:7" x14ac:dyDescent="0.2">
      <c r="F1001" s="15"/>
      <c r="G1001" s="15"/>
    </row>
    <row r="1002" spans="6:7" x14ac:dyDescent="0.2">
      <c r="F1002" s="15"/>
      <c r="G1002" s="15"/>
    </row>
    <row r="1003" spans="6:7" x14ac:dyDescent="0.2">
      <c r="F1003" s="15"/>
      <c r="G1003" s="15"/>
    </row>
    <row r="1004" spans="6:7" x14ac:dyDescent="0.2">
      <c r="F1004" s="15"/>
      <c r="G1004" s="15"/>
    </row>
    <row r="1005" spans="6:7" x14ac:dyDescent="0.2">
      <c r="F1005" s="15"/>
      <c r="G1005" s="15"/>
    </row>
    <row r="1006" spans="6:7" x14ac:dyDescent="0.2">
      <c r="F1006" s="15"/>
      <c r="G1006" s="15"/>
    </row>
    <row r="1007" spans="6:7" x14ac:dyDescent="0.2">
      <c r="F1007" s="15"/>
      <c r="G1007" s="15"/>
    </row>
    <row r="1008" spans="6:7" x14ac:dyDescent="0.2">
      <c r="F1008" s="15"/>
      <c r="G1008" s="15"/>
    </row>
    <row r="1009" spans="6:7" x14ac:dyDescent="0.2">
      <c r="F1009" s="15"/>
      <c r="G1009" s="15"/>
    </row>
    <row r="1010" spans="6:7" x14ac:dyDescent="0.2">
      <c r="F1010" s="15"/>
      <c r="G1010" s="15"/>
    </row>
    <row r="1011" spans="6:7" x14ac:dyDescent="0.2">
      <c r="F1011" s="15"/>
      <c r="G1011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>
      <selection activeCell="M40" sqref="M40"/>
    </sheetView>
  </sheetViews>
  <sheetFormatPr defaultColWidth="12.5703125" defaultRowHeight="15.75" customHeight="1" x14ac:dyDescent="0.2"/>
  <sheetData>
    <row r="1" spans="1:6" thickBot="1" x14ac:dyDescent="0.25">
      <c r="A1" s="3" t="s">
        <v>326</v>
      </c>
      <c r="B1" s="4" t="s">
        <v>327</v>
      </c>
      <c r="C1" s="4" t="s">
        <v>328</v>
      </c>
      <c r="D1" s="4" t="s">
        <v>329</v>
      </c>
      <c r="E1" s="4" t="s">
        <v>330</v>
      </c>
      <c r="F1" s="2"/>
    </row>
    <row r="2" spans="1:6" ht="15.75" customHeight="1" thickBot="1" x14ac:dyDescent="0.3">
      <c r="A2" s="6" t="s">
        <v>132</v>
      </c>
      <c r="B2" s="57">
        <v>1</v>
      </c>
      <c r="C2" s="58">
        <v>18</v>
      </c>
      <c r="D2" s="58">
        <v>2</v>
      </c>
      <c r="E2" s="58">
        <v>17</v>
      </c>
      <c r="F2" s="2"/>
    </row>
    <row r="3" spans="1:6" ht="15.75" customHeight="1" thickBot="1" x14ac:dyDescent="0.3">
      <c r="A3" s="6" t="s">
        <v>133</v>
      </c>
      <c r="B3" s="59">
        <v>3</v>
      </c>
      <c r="C3" s="60">
        <v>5</v>
      </c>
      <c r="D3" s="60">
        <v>4</v>
      </c>
      <c r="E3" s="60">
        <v>28</v>
      </c>
      <c r="F3" s="2"/>
    </row>
    <row r="4" spans="1:6" ht="15.75" customHeight="1" thickBot="1" x14ac:dyDescent="0.3">
      <c r="A4" s="6" t="s">
        <v>134</v>
      </c>
      <c r="B4" s="59">
        <v>6</v>
      </c>
      <c r="C4" s="60">
        <v>33</v>
      </c>
      <c r="D4" s="60">
        <v>7</v>
      </c>
      <c r="E4" s="60">
        <v>21</v>
      </c>
      <c r="F4" s="2"/>
    </row>
    <row r="5" spans="1:6" ht="15.75" customHeight="1" thickBot="1" x14ac:dyDescent="0.3">
      <c r="A5" s="6" t="s">
        <v>135</v>
      </c>
      <c r="B5" s="59">
        <v>8</v>
      </c>
      <c r="C5" s="60">
        <v>22</v>
      </c>
      <c r="D5" s="60">
        <v>9</v>
      </c>
      <c r="E5" s="60">
        <v>16</v>
      </c>
      <c r="F5" s="2"/>
    </row>
    <row r="6" spans="1:6" ht="15.75" customHeight="1" thickBot="1" x14ac:dyDescent="0.3">
      <c r="A6" s="6" t="s">
        <v>136</v>
      </c>
      <c r="B6" s="59">
        <v>10</v>
      </c>
      <c r="C6" s="60">
        <v>25</v>
      </c>
      <c r="D6" s="60">
        <v>11</v>
      </c>
      <c r="E6" s="60">
        <v>12</v>
      </c>
      <c r="F6" s="2"/>
    </row>
    <row r="7" spans="1:6" ht="15.75" customHeight="1" thickBot="1" x14ac:dyDescent="0.3">
      <c r="A7" s="6" t="s">
        <v>137</v>
      </c>
      <c r="B7" s="59">
        <v>13</v>
      </c>
      <c r="C7" s="60">
        <v>15</v>
      </c>
      <c r="D7" s="60">
        <v>14</v>
      </c>
      <c r="E7" s="60">
        <v>32</v>
      </c>
      <c r="F7" s="2"/>
    </row>
    <row r="8" spans="1:6" ht="15.75" customHeight="1" thickBot="1" x14ac:dyDescent="0.3">
      <c r="A8" s="6" t="s">
        <v>138</v>
      </c>
      <c r="B8" s="59">
        <v>19</v>
      </c>
      <c r="C8" s="60">
        <v>34</v>
      </c>
      <c r="D8" s="60">
        <v>20</v>
      </c>
      <c r="E8" s="60">
        <v>36</v>
      </c>
      <c r="F8" s="2"/>
    </row>
    <row r="9" spans="1:6" ht="15.75" customHeight="1" thickBot="1" x14ac:dyDescent="0.3">
      <c r="A9" s="6" t="s">
        <v>139</v>
      </c>
      <c r="B9" s="59">
        <v>23</v>
      </c>
      <c r="C9" s="60">
        <v>29</v>
      </c>
      <c r="D9" s="60">
        <v>31</v>
      </c>
      <c r="E9" s="60">
        <v>35</v>
      </c>
      <c r="F9" s="2"/>
    </row>
    <row r="10" spans="1:6" ht="15.75" customHeight="1" thickBot="1" x14ac:dyDescent="0.3">
      <c r="A10" s="6" t="s">
        <v>140</v>
      </c>
      <c r="B10" s="59">
        <v>24</v>
      </c>
      <c r="C10" s="60">
        <v>26</v>
      </c>
      <c r="D10" s="60">
        <v>27</v>
      </c>
      <c r="E10" s="60">
        <v>30</v>
      </c>
      <c r="F10" s="2"/>
    </row>
    <row r="11" spans="1:6" ht="15.75" customHeight="1" thickBot="1" x14ac:dyDescent="0.3">
      <c r="A11" s="6" t="s">
        <v>141</v>
      </c>
      <c r="B11" s="61">
        <v>7</v>
      </c>
      <c r="C11" s="62">
        <v>28</v>
      </c>
      <c r="D11" s="62">
        <v>6</v>
      </c>
      <c r="E11" s="62">
        <v>34</v>
      </c>
      <c r="F11" s="2"/>
    </row>
    <row r="12" spans="1:6" ht="15.75" customHeight="1" thickBot="1" x14ac:dyDescent="0.3">
      <c r="A12" s="6" t="s">
        <v>142</v>
      </c>
      <c r="B12" s="61">
        <v>15</v>
      </c>
      <c r="C12" s="62">
        <v>21</v>
      </c>
      <c r="D12" s="62">
        <v>5</v>
      </c>
      <c r="E12" s="62">
        <v>31</v>
      </c>
      <c r="F12" s="2"/>
    </row>
    <row r="13" spans="1:6" ht="15.75" customHeight="1" thickBot="1" x14ac:dyDescent="0.3">
      <c r="A13" s="6" t="s">
        <v>143</v>
      </c>
      <c r="B13" s="61">
        <v>9</v>
      </c>
      <c r="C13" s="62">
        <v>20</v>
      </c>
      <c r="D13" s="62">
        <v>2</v>
      </c>
      <c r="E13" s="62">
        <v>32</v>
      </c>
      <c r="F13" s="2"/>
    </row>
    <row r="14" spans="1:6" ht="15.75" customHeight="1" thickBot="1" x14ac:dyDescent="0.3">
      <c r="A14" s="6" t="s">
        <v>144</v>
      </c>
      <c r="B14" s="61">
        <v>10</v>
      </c>
      <c r="C14" s="62">
        <v>22</v>
      </c>
      <c r="D14" s="62">
        <v>1</v>
      </c>
      <c r="E14" s="62">
        <v>35</v>
      </c>
      <c r="F14" s="2"/>
    </row>
    <row r="15" spans="1:6" ht="15.75" customHeight="1" thickBot="1" x14ac:dyDescent="0.3">
      <c r="A15" s="6" t="s">
        <v>145</v>
      </c>
      <c r="B15" s="61">
        <v>8</v>
      </c>
      <c r="C15" s="62">
        <v>33</v>
      </c>
      <c r="D15" s="62">
        <v>3</v>
      </c>
      <c r="E15" s="62">
        <v>4</v>
      </c>
      <c r="F15" s="2"/>
    </row>
    <row r="16" spans="1:6" ht="15.75" customHeight="1" thickBot="1" x14ac:dyDescent="0.3">
      <c r="A16" s="6" t="s">
        <v>146</v>
      </c>
      <c r="B16" s="61">
        <v>29</v>
      </c>
      <c r="C16" s="62">
        <v>30</v>
      </c>
      <c r="D16" s="62">
        <v>11</v>
      </c>
      <c r="E16" s="62">
        <v>17</v>
      </c>
      <c r="F16" s="2"/>
    </row>
    <row r="17" spans="1:6" ht="15.75" customHeight="1" thickBot="1" x14ac:dyDescent="0.3">
      <c r="A17" s="6" t="s">
        <v>147</v>
      </c>
      <c r="B17" s="61">
        <v>23</v>
      </c>
      <c r="C17" s="62">
        <v>26</v>
      </c>
      <c r="D17" s="62">
        <v>12</v>
      </c>
      <c r="E17" s="62">
        <v>13</v>
      </c>
      <c r="F17" s="2"/>
    </row>
    <row r="18" spans="1:6" ht="15.75" customHeight="1" thickBot="1" x14ac:dyDescent="0.3">
      <c r="A18" s="6" t="s">
        <v>148</v>
      </c>
      <c r="B18" s="61">
        <v>19</v>
      </c>
      <c r="C18" s="62">
        <v>24</v>
      </c>
      <c r="D18" s="62">
        <v>14</v>
      </c>
      <c r="E18" s="62">
        <v>25</v>
      </c>
      <c r="F18" s="2"/>
    </row>
    <row r="19" spans="1:6" ht="15.75" customHeight="1" thickBot="1" x14ac:dyDescent="0.3">
      <c r="A19" s="6" t="s">
        <v>149</v>
      </c>
      <c r="B19" s="61">
        <v>18</v>
      </c>
      <c r="C19" s="62">
        <v>36</v>
      </c>
      <c r="D19" s="62">
        <v>16</v>
      </c>
      <c r="E19" s="62">
        <v>27</v>
      </c>
      <c r="F19" s="2"/>
    </row>
    <row r="20" spans="1:6" ht="15.75" customHeight="1" thickBot="1" x14ac:dyDescent="0.3">
      <c r="A20" s="6" t="s">
        <v>150</v>
      </c>
      <c r="B20" s="63">
        <v>33</v>
      </c>
      <c r="C20" s="64">
        <v>34</v>
      </c>
      <c r="D20" s="64">
        <v>9</v>
      </c>
      <c r="E20" s="64">
        <v>10</v>
      </c>
      <c r="F20" s="2"/>
    </row>
    <row r="21" spans="1:6" ht="15.75" customHeight="1" thickBot="1" x14ac:dyDescent="0.3">
      <c r="A21" s="6" t="s">
        <v>151</v>
      </c>
      <c r="B21" s="63">
        <v>22</v>
      </c>
      <c r="C21" s="64">
        <v>30</v>
      </c>
      <c r="D21" s="64">
        <v>8</v>
      </c>
      <c r="E21" s="64">
        <v>14</v>
      </c>
      <c r="F21" s="2"/>
    </row>
    <row r="22" spans="1:6" ht="15.75" customHeight="1" thickBot="1" x14ac:dyDescent="0.3">
      <c r="A22" s="6" t="s">
        <v>152</v>
      </c>
      <c r="B22" s="63">
        <v>27</v>
      </c>
      <c r="C22" s="64">
        <v>36</v>
      </c>
      <c r="D22" s="64">
        <v>15</v>
      </c>
      <c r="E22" s="64">
        <v>28</v>
      </c>
      <c r="F22" s="2"/>
    </row>
    <row r="23" spans="1:6" ht="15.75" customHeight="1" thickBot="1" x14ac:dyDescent="0.3">
      <c r="A23" s="6" t="s">
        <v>153</v>
      </c>
      <c r="B23" s="63">
        <v>7</v>
      </c>
      <c r="C23" s="64">
        <v>29</v>
      </c>
      <c r="D23" s="64">
        <v>1</v>
      </c>
      <c r="E23" s="64">
        <v>12</v>
      </c>
      <c r="F23" s="2"/>
    </row>
    <row r="24" spans="1:6" ht="15.75" customHeight="1" thickBot="1" x14ac:dyDescent="0.3">
      <c r="A24" s="6" t="s">
        <v>154</v>
      </c>
      <c r="B24" s="63">
        <v>20</v>
      </c>
      <c r="C24" s="64">
        <v>25</v>
      </c>
      <c r="D24" s="64">
        <v>6</v>
      </c>
      <c r="E24" s="64">
        <v>26</v>
      </c>
      <c r="F24" s="2"/>
    </row>
    <row r="25" spans="1:6" ht="15.75" customHeight="1" thickBot="1" x14ac:dyDescent="0.3">
      <c r="A25" s="6" t="s">
        <v>155</v>
      </c>
      <c r="B25" s="63">
        <v>13</v>
      </c>
      <c r="C25" s="64">
        <v>35</v>
      </c>
      <c r="D25" s="64">
        <v>3</v>
      </c>
      <c r="E25" s="64">
        <v>31</v>
      </c>
      <c r="F25" s="2"/>
    </row>
    <row r="26" spans="1:6" ht="15.75" customHeight="1" thickBot="1" x14ac:dyDescent="0.3">
      <c r="A26" s="6" t="s">
        <v>156</v>
      </c>
      <c r="B26" s="63">
        <v>23</v>
      </c>
      <c r="C26" s="64">
        <v>24</v>
      </c>
      <c r="D26" s="64">
        <v>2</v>
      </c>
      <c r="E26" s="64">
        <v>4</v>
      </c>
      <c r="F26" s="2"/>
    </row>
    <row r="27" spans="1:6" ht="15.75" customHeight="1" thickBot="1" x14ac:dyDescent="0.3">
      <c r="A27" s="6" t="s">
        <v>157</v>
      </c>
      <c r="B27" s="63">
        <v>18</v>
      </c>
      <c r="C27" s="64">
        <v>19</v>
      </c>
      <c r="D27" s="64">
        <v>5</v>
      </c>
      <c r="E27" s="64">
        <v>11</v>
      </c>
      <c r="F27" s="2"/>
    </row>
    <row r="28" spans="1:6" ht="15.75" customHeight="1" thickBot="1" x14ac:dyDescent="0.3">
      <c r="A28" s="6" t="s">
        <v>158</v>
      </c>
      <c r="B28" s="63">
        <v>21</v>
      </c>
      <c r="C28" s="64">
        <v>32</v>
      </c>
      <c r="D28" s="64">
        <v>16</v>
      </c>
      <c r="E28" s="64">
        <v>17</v>
      </c>
      <c r="F28" s="2"/>
    </row>
    <row r="29" spans="1:6" ht="15.75" customHeight="1" thickBot="1" x14ac:dyDescent="0.3">
      <c r="A29" s="6" t="s">
        <v>159</v>
      </c>
      <c r="B29" s="65">
        <v>21</v>
      </c>
      <c r="C29" s="66">
        <v>35</v>
      </c>
      <c r="D29" s="66">
        <v>12</v>
      </c>
      <c r="E29" s="66">
        <v>30</v>
      </c>
      <c r="F29" s="2"/>
    </row>
    <row r="30" spans="1:6" ht="15.75" customHeight="1" thickBot="1" x14ac:dyDescent="0.3">
      <c r="A30" s="6" t="s">
        <v>160</v>
      </c>
      <c r="B30" s="65">
        <v>19</v>
      </c>
      <c r="C30" s="66">
        <v>26</v>
      </c>
      <c r="D30" s="66">
        <v>22</v>
      </c>
      <c r="E30" s="66">
        <v>34</v>
      </c>
      <c r="F30" s="2"/>
    </row>
    <row r="31" spans="1:6" ht="15.75" customHeight="1" thickBot="1" x14ac:dyDescent="0.3">
      <c r="A31" s="6" t="s">
        <v>161</v>
      </c>
      <c r="B31" s="65">
        <v>15</v>
      </c>
      <c r="C31" s="66">
        <v>20</v>
      </c>
      <c r="D31" s="66">
        <v>13</v>
      </c>
      <c r="E31" s="66">
        <v>33</v>
      </c>
      <c r="F31" s="2"/>
    </row>
    <row r="32" spans="1:6" ht="15.75" customHeight="1" thickBot="1" x14ac:dyDescent="0.3">
      <c r="A32" s="6" t="s">
        <v>162</v>
      </c>
      <c r="B32" s="65">
        <v>9</v>
      </c>
      <c r="C32" s="66">
        <v>24</v>
      </c>
      <c r="D32" s="66">
        <v>18</v>
      </c>
      <c r="E32" s="66">
        <v>28</v>
      </c>
      <c r="F32" s="2"/>
    </row>
    <row r="33" spans="1:6" ht="15.75" customHeight="1" thickBot="1" x14ac:dyDescent="0.3">
      <c r="A33" s="6" t="s">
        <v>163</v>
      </c>
      <c r="B33" s="65">
        <v>10</v>
      </c>
      <c r="C33" s="66">
        <v>32</v>
      </c>
      <c r="D33" s="66">
        <v>8</v>
      </c>
      <c r="E33" s="66">
        <v>29</v>
      </c>
      <c r="F33" s="2"/>
    </row>
    <row r="34" spans="1:6" ht="15.75" customHeight="1" thickBot="1" x14ac:dyDescent="0.3">
      <c r="A34" s="6" t="s">
        <v>164</v>
      </c>
      <c r="B34" s="65">
        <v>1</v>
      </c>
      <c r="C34" s="66">
        <v>25</v>
      </c>
      <c r="D34" s="66">
        <v>16</v>
      </c>
      <c r="E34" s="66">
        <v>36</v>
      </c>
      <c r="F34" s="2"/>
    </row>
    <row r="35" spans="1:6" ht="15.75" customHeight="1" thickBot="1" x14ac:dyDescent="0.3">
      <c r="A35" s="6" t="s">
        <v>165</v>
      </c>
      <c r="B35" s="65">
        <v>7</v>
      </c>
      <c r="C35" s="66">
        <v>17</v>
      </c>
      <c r="D35" s="66">
        <v>4</v>
      </c>
      <c r="E35" s="66">
        <v>27</v>
      </c>
      <c r="F35" s="2"/>
    </row>
    <row r="36" spans="1:6" ht="15.75" customHeight="1" thickBot="1" x14ac:dyDescent="0.3">
      <c r="A36" s="6" t="s">
        <v>166</v>
      </c>
      <c r="B36" s="65">
        <v>5</v>
      </c>
      <c r="C36" s="66">
        <v>23</v>
      </c>
      <c r="D36" s="66">
        <v>6</v>
      </c>
      <c r="E36" s="66">
        <v>11</v>
      </c>
      <c r="F36" s="2"/>
    </row>
    <row r="37" spans="1:6" ht="15.75" customHeight="1" thickBot="1" x14ac:dyDescent="0.3">
      <c r="A37" s="6" t="s">
        <v>167</v>
      </c>
      <c r="B37" s="65">
        <v>2</v>
      </c>
      <c r="C37" s="66">
        <v>31</v>
      </c>
      <c r="D37" s="66">
        <v>3</v>
      </c>
      <c r="E37" s="66">
        <v>14</v>
      </c>
      <c r="F37" s="2"/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workbookViewId="0">
      <selection activeCell="H2" sqref="H2:I101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3" t="s">
        <v>122</v>
      </c>
      <c r="B1" s="34" t="s">
        <v>331</v>
      </c>
      <c r="C1" s="33" t="s">
        <v>332</v>
      </c>
      <c r="D1" s="33" t="s">
        <v>123</v>
      </c>
      <c r="E1" s="33" t="s">
        <v>124</v>
      </c>
      <c r="F1" s="33" t="s">
        <v>125</v>
      </c>
      <c r="G1" s="33" t="s">
        <v>126</v>
      </c>
      <c r="H1" s="35" t="s">
        <v>128</v>
      </c>
      <c r="I1" s="35" t="s">
        <v>129</v>
      </c>
      <c r="M1" s="36" t="s">
        <v>333</v>
      </c>
      <c r="N1" s="36" t="s">
        <v>334</v>
      </c>
      <c r="O1" s="36" t="s">
        <v>168</v>
      </c>
      <c r="P1" s="36" t="s">
        <v>172</v>
      </c>
      <c r="Q1" s="36" t="s">
        <v>170</v>
      </c>
    </row>
    <row r="2" spans="1:17" ht="15.75" customHeight="1" x14ac:dyDescent="0.25">
      <c r="A2" s="6" t="s">
        <v>132</v>
      </c>
      <c r="B2" s="37" t="s">
        <v>2</v>
      </c>
      <c r="C2" s="38">
        <f>VLOOKUP(A2,A组循环赛4轮!A:F,6,FALSE)</f>
        <v>1</v>
      </c>
      <c r="D2" s="39" t="str">
        <f>VLOOKUP(A2,A组循环赛4轮!A:B,2,FALSE)</f>
        <v>A1 - 王 雅峰</v>
      </c>
      <c r="E2" s="39" t="str">
        <f>VLOOKUP(A2,A组循环赛4轮!A:C,3,FALSE)</f>
        <v>A18 - Li Larry</v>
      </c>
      <c r="F2" s="39" t="str">
        <f>VLOOKUP(A2,A组循环赛4轮!A:D,4,FALSE)</f>
        <v>A2 - 王 丽</v>
      </c>
      <c r="G2" s="39" t="str">
        <f>VLOOKUP(A2,A组循环赛4轮!A:E,5,FALSE)</f>
        <v>A17 - 叶 冰</v>
      </c>
      <c r="H2" s="52">
        <f>VLOOKUP(A2,A组循环赛4轮!A:H,7,FALSE)</f>
        <v>0</v>
      </c>
      <c r="I2" s="52">
        <f>VLOOKUP(A2,A组循环赛4轮!A:H,8,FALSE)</f>
        <v>0</v>
      </c>
      <c r="M2" s="40" t="s">
        <v>335</v>
      </c>
      <c r="N2" s="41">
        <v>1</v>
      </c>
      <c r="O2" s="41" t="str">
        <f>A组循环赛总分!F2</f>
        <v>A1 - 王 雅峰</v>
      </c>
      <c r="P2" s="41">
        <f>A组循环赛总分!G2</f>
        <v>0</v>
      </c>
      <c r="Q2" s="42">
        <f>A组循环赛总分!H2</f>
        <v>0</v>
      </c>
    </row>
    <row r="3" spans="1:17" ht="15.75" customHeight="1" x14ac:dyDescent="0.25">
      <c r="A3" s="6" t="s">
        <v>133</v>
      </c>
      <c r="B3" s="37" t="s">
        <v>2</v>
      </c>
      <c r="C3" s="38">
        <f>VLOOKUP(A3,A组循环赛4轮!A:F,6,FALSE)</f>
        <v>2</v>
      </c>
      <c r="D3" s="39" t="str">
        <f>VLOOKUP(A3,A组循环赛4轮!A:B,2,FALSE)</f>
        <v>A3 - 司 丽荣</v>
      </c>
      <c r="E3" s="39" t="str">
        <f>VLOOKUP(A3,A组循环赛4轮!A:C,3,FALSE)</f>
        <v>A5 - Hu Kevin</v>
      </c>
      <c r="F3" s="39" t="str">
        <f>VLOOKUP(A3,A组循环赛4轮!A:D,4,FALSE)</f>
        <v>A4 - 邢 世杰</v>
      </c>
      <c r="G3" s="39" t="str">
        <f>VLOOKUP(A3,A组循环赛4轮!A:E,5,FALSE)</f>
        <v>A28 - 杨芳</v>
      </c>
      <c r="H3" s="52">
        <f>VLOOKUP(A3,A组循环赛4轮!A:H,7,FALSE)</f>
        <v>0</v>
      </c>
      <c r="I3" s="52">
        <f>VLOOKUP(A3,A组循环赛4轮!A:H,8,FALSE)</f>
        <v>0</v>
      </c>
      <c r="M3" s="40" t="s">
        <v>335</v>
      </c>
      <c r="N3" s="41">
        <v>2</v>
      </c>
      <c r="O3" s="41" t="str">
        <f>A组循环赛总分!F3</f>
        <v>A2 - 王 丽</v>
      </c>
      <c r="P3" s="41">
        <f>A组循环赛总分!G3</f>
        <v>0</v>
      </c>
      <c r="Q3" s="42">
        <f>A组循环赛总分!H3</f>
        <v>0</v>
      </c>
    </row>
    <row r="4" spans="1:17" ht="15.75" customHeight="1" x14ac:dyDescent="0.25">
      <c r="A4" s="6" t="s">
        <v>134</v>
      </c>
      <c r="B4" s="37" t="s">
        <v>2</v>
      </c>
      <c r="C4" s="38">
        <f>VLOOKUP(A4,A组循环赛4轮!A:F,6,FALSE)</f>
        <v>3</v>
      </c>
      <c r="D4" s="39" t="str">
        <f>VLOOKUP(A4,A组循环赛4轮!A:B,2,FALSE)</f>
        <v>A6 - 李 文</v>
      </c>
      <c r="E4" s="39" t="str">
        <f>VLOOKUP(A4,A组循环赛4轮!A:C,3,FALSE)</f>
        <v>A33 - 吴 大本</v>
      </c>
      <c r="F4" s="39" t="str">
        <f>VLOOKUP(A4,A组循环赛4轮!A:D,4,FALSE)</f>
        <v>A7 - 黄 文哲</v>
      </c>
      <c r="G4" s="39" t="str">
        <f>VLOOKUP(A4,A组循环赛4轮!A:E,5,FALSE)</f>
        <v>A21 - 哈 悦</v>
      </c>
      <c r="H4" s="52">
        <f>VLOOKUP(A4,A组循环赛4轮!A:H,7,FALSE)</f>
        <v>0</v>
      </c>
      <c r="I4" s="52">
        <f>VLOOKUP(A4,A组循环赛4轮!A:H,8,FALSE)</f>
        <v>0</v>
      </c>
      <c r="M4" s="40" t="s">
        <v>335</v>
      </c>
      <c r="N4" s="41">
        <v>3</v>
      </c>
      <c r="O4" s="41" t="str">
        <f>A组循环赛总分!F4</f>
        <v>A3 - 司 丽荣</v>
      </c>
      <c r="P4" s="41">
        <f>A组循环赛总分!G4</f>
        <v>0</v>
      </c>
      <c r="Q4" s="42">
        <f>A组循环赛总分!H4</f>
        <v>0</v>
      </c>
    </row>
    <row r="5" spans="1:17" ht="15.75" customHeight="1" x14ac:dyDescent="0.25">
      <c r="A5" s="6" t="s">
        <v>135</v>
      </c>
      <c r="B5" s="37" t="s">
        <v>2</v>
      </c>
      <c r="C5" s="38">
        <f>VLOOKUP(A5,A组循环赛4轮!A:F,6,FALSE)</f>
        <v>4</v>
      </c>
      <c r="D5" s="39" t="str">
        <f>VLOOKUP(A5,A组循环赛4轮!A:B,2,FALSE)</f>
        <v>A8 - 李 敏</v>
      </c>
      <c r="E5" s="39" t="str">
        <f>VLOOKUP(A5,A组循环赛4轮!A:C,3,FALSE)</f>
        <v>A22 - 刘 勇</v>
      </c>
      <c r="F5" s="39" t="str">
        <f>VLOOKUP(A5,A组循环赛4轮!A:D,4,FALSE)</f>
        <v>A9 - Yi Hongtao</v>
      </c>
      <c r="G5" s="39" t="str">
        <f>VLOOKUP(A5,A组循环赛4轮!A:E,5,FALSE)</f>
        <v>A16 - 肖 凌闻</v>
      </c>
      <c r="H5" s="52">
        <f>VLOOKUP(A5,A组循环赛4轮!A:H,7,FALSE)</f>
        <v>0</v>
      </c>
      <c r="I5" s="52">
        <f>VLOOKUP(A5,A组循环赛4轮!A:H,8,FALSE)</f>
        <v>0</v>
      </c>
      <c r="M5" s="40" t="s">
        <v>335</v>
      </c>
      <c r="N5" s="41">
        <v>4</v>
      </c>
      <c r="O5" s="41" t="str">
        <f>A组循环赛总分!F5</f>
        <v>A4 - 邢 世杰</v>
      </c>
      <c r="P5" s="41">
        <f>A组循环赛总分!G5</f>
        <v>0</v>
      </c>
      <c r="Q5" s="42">
        <f>A组循环赛总分!H5</f>
        <v>0</v>
      </c>
    </row>
    <row r="6" spans="1:17" ht="15.75" customHeight="1" x14ac:dyDescent="0.25">
      <c r="A6" s="6" t="s">
        <v>136</v>
      </c>
      <c r="B6" s="37" t="s">
        <v>2</v>
      </c>
      <c r="C6" s="38">
        <f>VLOOKUP(A6,A组循环赛4轮!A:F,6,FALSE)</f>
        <v>5</v>
      </c>
      <c r="D6" s="39" t="str">
        <f>VLOOKUP(A6,A组循环赛4轮!A:B,2,FALSE)</f>
        <v>A10 - Deng Shirley</v>
      </c>
      <c r="E6" s="39" t="str">
        <f>VLOOKUP(A6,A组循环赛4轮!A:C,3,FALSE)</f>
        <v>A25 - 崔 云平</v>
      </c>
      <c r="F6" s="39" t="str">
        <f>VLOOKUP(A6,A组循环赛4轮!A:D,4,FALSE)</f>
        <v>A11 - Xu Bujiang</v>
      </c>
      <c r="G6" s="39" t="str">
        <f>VLOOKUP(A6,A组循环赛4轮!A:E,5,FALSE)</f>
        <v>A12 - Huo Yang</v>
      </c>
      <c r="H6" s="52">
        <f>VLOOKUP(A6,A组循环赛4轮!A:H,7,FALSE)</f>
        <v>0</v>
      </c>
      <c r="I6" s="52">
        <f>VLOOKUP(A6,A组循环赛4轮!A:H,8,FALSE)</f>
        <v>0</v>
      </c>
      <c r="M6" s="40" t="s">
        <v>335</v>
      </c>
      <c r="N6" s="41">
        <v>5</v>
      </c>
      <c r="O6" s="41" t="str">
        <f>A组循环赛总分!F6</f>
        <v>A5 - Hu Kevin</v>
      </c>
      <c r="P6" s="41">
        <f>A组循环赛总分!G6</f>
        <v>0</v>
      </c>
      <c r="Q6" s="42">
        <f>A组循环赛总分!H6</f>
        <v>0</v>
      </c>
    </row>
    <row r="7" spans="1:17" ht="15.75" customHeight="1" x14ac:dyDescent="0.25">
      <c r="A7" s="6" t="s">
        <v>137</v>
      </c>
      <c r="B7" s="37" t="s">
        <v>2</v>
      </c>
      <c r="C7" s="38">
        <f>VLOOKUP(A7,A组循环赛4轮!A:F,6,FALSE)</f>
        <v>6</v>
      </c>
      <c r="D7" s="39" t="str">
        <f>VLOOKUP(A7,A组循环赛4轮!A:B,2,FALSE)</f>
        <v>A13 - 黄 Shelly</v>
      </c>
      <c r="E7" s="39" t="str">
        <f>VLOOKUP(A7,A组循环赛4轮!A:C,3,FALSE)</f>
        <v>A15 - 高 清</v>
      </c>
      <c r="F7" s="39" t="str">
        <f>VLOOKUP(A7,A组循环赛4轮!A:D,4,FALSE)</f>
        <v>A14 - Ye Sabrina</v>
      </c>
      <c r="G7" s="39" t="str">
        <f>VLOOKUP(A7,A组循环赛4轮!A:E,5,FALSE)</f>
        <v>A32 - 黄 伟</v>
      </c>
      <c r="H7" s="52">
        <f>VLOOKUP(A7,A组循环赛4轮!A:H,7,FALSE)</f>
        <v>0</v>
      </c>
      <c r="I7" s="52">
        <f>VLOOKUP(A7,A组循环赛4轮!A:H,8,FALSE)</f>
        <v>0</v>
      </c>
      <c r="M7" s="40" t="s">
        <v>335</v>
      </c>
      <c r="N7" s="41">
        <v>6</v>
      </c>
      <c r="O7" s="41" t="str">
        <f>A组循环赛总分!F7</f>
        <v>A6 - 李 文</v>
      </c>
      <c r="P7" s="41">
        <f>A组循环赛总分!G7</f>
        <v>0</v>
      </c>
      <c r="Q7" s="42">
        <f>A组循环赛总分!H7</f>
        <v>0</v>
      </c>
    </row>
    <row r="8" spans="1:17" ht="15.75" customHeight="1" x14ac:dyDescent="0.25">
      <c r="A8" s="6" t="s">
        <v>138</v>
      </c>
      <c r="B8" s="37" t="s">
        <v>2</v>
      </c>
      <c r="C8" s="38">
        <f>VLOOKUP(A8,A组循环赛4轮!A:F,6,FALSE)</f>
        <v>1</v>
      </c>
      <c r="D8" s="39" t="str">
        <f>VLOOKUP(A8,A组循环赛4轮!A:B,2,FALSE)</f>
        <v>A19 - 赵发枚</v>
      </c>
      <c r="E8" s="39" t="str">
        <f>VLOOKUP(A8,A组循环赛4轮!A:C,3,FALSE)</f>
        <v>A34 - Chen Jie</v>
      </c>
      <c r="F8" s="39" t="str">
        <f>VLOOKUP(A8,A组循环赛4轮!A:D,4,FALSE)</f>
        <v>A20 - 王轶男</v>
      </c>
      <c r="G8" s="39" t="str">
        <f>VLOOKUP(A8,A组循环赛4轮!A:E,5,FALSE)</f>
        <v>A36 - 毛 佩雷</v>
      </c>
      <c r="H8" s="52">
        <f>VLOOKUP(A8,A组循环赛4轮!A:H,7,FALSE)</f>
        <v>0</v>
      </c>
      <c r="I8" s="52">
        <f>VLOOKUP(A8,A组循环赛4轮!A:H,8,FALSE)</f>
        <v>0</v>
      </c>
      <c r="M8" s="40" t="s">
        <v>335</v>
      </c>
      <c r="N8" s="41">
        <v>7</v>
      </c>
      <c r="O8" s="41" t="str">
        <f>A组循环赛总分!F8</f>
        <v>A7 - 黄 文哲</v>
      </c>
      <c r="P8" s="41">
        <f>A组循环赛总分!G8</f>
        <v>0</v>
      </c>
      <c r="Q8" s="42">
        <f>A组循环赛总分!H8</f>
        <v>0</v>
      </c>
    </row>
    <row r="9" spans="1:17" ht="15.75" customHeight="1" x14ac:dyDescent="0.25">
      <c r="A9" s="6" t="s">
        <v>139</v>
      </c>
      <c r="B9" s="37" t="s">
        <v>2</v>
      </c>
      <c r="C9" s="38">
        <f>VLOOKUP(A9,A组循环赛4轮!A:F,6,FALSE)</f>
        <v>2</v>
      </c>
      <c r="D9" s="39" t="str">
        <f>VLOOKUP(A9,A组循环赛4轮!A:B,2,FALSE)</f>
        <v>A23 - 陈 冬娥</v>
      </c>
      <c r="E9" s="39" t="str">
        <f>VLOOKUP(A9,A组循环赛4轮!A:C,3,FALSE)</f>
        <v>A29 - 由 军</v>
      </c>
      <c r="F9" s="39" t="str">
        <f>VLOOKUP(A9,A组循环赛4轮!A:D,4,FALSE)</f>
        <v>A31 - Coco Cao</v>
      </c>
      <c r="G9" s="39" t="str">
        <f>VLOOKUP(A9,A组循环赛4轮!A:E,5,FALSE)</f>
        <v>A35 - Peter Ye</v>
      </c>
      <c r="H9" s="52">
        <f>VLOOKUP(A9,A组循环赛4轮!A:H,7,FALSE)</f>
        <v>0</v>
      </c>
      <c r="I9" s="52">
        <f>VLOOKUP(A9,A组循环赛4轮!A:H,8,FALSE)</f>
        <v>0</v>
      </c>
      <c r="M9" s="40" t="s">
        <v>335</v>
      </c>
      <c r="N9" s="41">
        <v>8</v>
      </c>
      <c r="O9" s="41" t="str">
        <f>A组循环赛总分!F9</f>
        <v>A8 - 李 敏</v>
      </c>
      <c r="P9" s="41">
        <f>A组循环赛总分!G9</f>
        <v>0</v>
      </c>
      <c r="Q9" s="42">
        <f>A组循环赛总分!H9</f>
        <v>0</v>
      </c>
    </row>
    <row r="10" spans="1:17" ht="15.75" customHeight="1" x14ac:dyDescent="0.25">
      <c r="A10" s="6" t="s">
        <v>140</v>
      </c>
      <c r="B10" s="37" t="s">
        <v>2</v>
      </c>
      <c r="C10" s="38">
        <f>VLOOKUP(A10,A组循环赛4轮!A:F,6,FALSE)</f>
        <v>3</v>
      </c>
      <c r="D10" s="39" t="str">
        <f>VLOOKUP(A10,A组循环赛4轮!A:B,2,FALSE)</f>
        <v>A24 - 贾云英</v>
      </c>
      <c r="E10" s="39" t="str">
        <f>VLOOKUP(A10,A组循环赛4轮!A:C,3,FALSE)</f>
        <v>A26 - 叶 政</v>
      </c>
      <c r="F10" s="39" t="str">
        <f>VLOOKUP(A10,A组循环赛4轮!A:D,4,FALSE)</f>
        <v>A27 - 赵 建勇</v>
      </c>
      <c r="G10" s="39" t="str">
        <f>VLOOKUP(A10,A组循环赛4轮!A:E,5,FALSE)</f>
        <v>A30 - 王 冬艳</v>
      </c>
      <c r="H10" s="52">
        <f>VLOOKUP(A10,A组循环赛4轮!A:H,7,FALSE)</f>
        <v>0</v>
      </c>
      <c r="I10" s="52">
        <f>VLOOKUP(A10,A组循环赛4轮!A:H,8,FALSE)</f>
        <v>0</v>
      </c>
      <c r="M10" s="40" t="s">
        <v>335</v>
      </c>
      <c r="N10" s="41">
        <v>9</v>
      </c>
      <c r="O10" s="41" t="str">
        <f>A组循环赛总分!F10</f>
        <v>A9 - Yi Hongtao</v>
      </c>
      <c r="P10" s="41">
        <f>A组循环赛总分!G10</f>
        <v>0</v>
      </c>
      <c r="Q10" s="42">
        <f>A组循环赛总分!H10</f>
        <v>0</v>
      </c>
    </row>
    <row r="11" spans="1:17" ht="15.75" customHeight="1" x14ac:dyDescent="0.25">
      <c r="A11" s="6" t="s">
        <v>141</v>
      </c>
      <c r="B11" s="37" t="s">
        <v>4</v>
      </c>
      <c r="C11" s="38">
        <f>VLOOKUP(A11,A组循环赛4轮!A:F,6,FALSE)</f>
        <v>1</v>
      </c>
      <c r="D11" s="39" t="str">
        <f>VLOOKUP(A11,A组循环赛4轮!A:B,2,FALSE)</f>
        <v>A7 - 黄 文哲</v>
      </c>
      <c r="E11" s="39" t="str">
        <f>VLOOKUP(A11,A组循环赛4轮!A:C,3,FALSE)</f>
        <v>A28 - 杨芳</v>
      </c>
      <c r="F11" s="39" t="str">
        <f>VLOOKUP(A11,A组循环赛4轮!A:D,4,FALSE)</f>
        <v>A6 - 李 文</v>
      </c>
      <c r="G11" s="39" t="str">
        <f>VLOOKUP(A11,A组循环赛4轮!A:E,5,FALSE)</f>
        <v>A34 - Chen Jie</v>
      </c>
      <c r="H11" s="52">
        <f>VLOOKUP(A11,A组循环赛4轮!A:H,7,FALSE)</f>
        <v>0</v>
      </c>
      <c r="I11" s="52">
        <f>VLOOKUP(A11,A组循环赛4轮!A:H,8,FALSE)</f>
        <v>0</v>
      </c>
      <c r="M11" s="40" t="s">
        <v>335</v>
      </c>
      <c r="N11" s="41">
        <v>10</v>
      </c>
      <c r="O11" s="41" t="str">
        <f>A组循环赛总分!F11</f>
        <v>A10 - Deng Shirley</v>
      </c>
      <c r="P11" s="41">
        <f>A组循环赛总分!G11</f>
        <v>0</v>
      </c>
      <c r="Q11" s="42">
        <f>A组循环赛总分!H11</f>
        <v>0</v>
      </c>
    </row>
    <row r="12" spans="1:17" ht="15.75" customHeight="1" x14ac:dyDescent="0.25">
      <c r="A12" s="6" t="s">
        <v>142</v>
      </c>
      <c r="B12" s="37" t="s">
        <v>4</v>
      </c>
      <c r="C12" s="38">
        <f>VLOOKUP(A12,A组循环赛4轮!A:F,6,FALSE)</f>
        <v>2</v>
      </c>
      <c r="D12" s="39" t="str">
        <f>VLOOKUP(A12,A组循环赛4轮!A:B,2,FALSE)</f>
        <v>A15 - 高 清</v>
      </c>
      <c r="E12" s="39" t="str">
        <f>VLOOKUP(A12,A组循环赛4轮!A:C,3,FALSE)</f>
        <v>A21 - 哈 悦</v>
      </c>
      <c r="F12" s="39" t="str">
        <f>VLOOKUP(A12,A组循环赛4轮!A:D,4,FALSE)</f>
        <v>A5 - Hu Kevin</v>
      </c>
      <c r="G12" s="39" t="str">
        <f>VLOOKUP(A12,A组循环赛4轮!A:E,5,FALSE)</f>
        <v>A31 - Coco Cao</v>
      </c>
      <c r="H12" s="52">
        <f>VLOOKUP(A12,A组循环赛4轮!A:H,7,FALSE)</f>
        <v>0</v>
      </c>
      <c r="I12" s="52">
        <f>VLOOKUP(A12,A组循环赛4轮!A:H,8,FALSE)</f>
        <v>0</v>
      </c>
      <c r="M12" s="40" t="s">
        <v>335</v>
      </c>
      <c r="N12" s="41">
        <v>11</v>
      </c>
      <c r="O12" s="41" t="str">
        <f>A组循环赛总分!F12</f>
        <v>A11 - Xu Bujiang</v>
      </c>
      <c r="P12" s="41">
        <f>A组循环赛总分!G12</f>
        <v>0</v>
      </c>
      <c r="Q12" s="42">
        <f>A组循环赛总分!H12</f>
        <v>0</v>
      </c>
    </row>
    <row r="13" spans="1:17" ht="15.75" customHeight="1" x14ac:dyDescent="0.25">
      <c r="A13" s="6" t="s">
        <v>143</v>
      </c>
      <c r="B13" s="37" t="s">
        <v>4</v>
      </c>
      <c r="C13" s="38">
        <f>VLOOKUP(A13,A组循环赛4轮!A:F,6,FALSE)</f>
        <v>3</v>
      </c>
      <c r="D13" s="39" t="str">
        <f>VLOOKUP(A13,A组循环赛4轮!A:B,2,FALSE)</f>
        <v>A9 - Yi Hongtao</v>
      </c>
      <c r="E13" s="39" t="str">
        <f>VLOOKUP(A13,A组循环赛4轮!A:C,3,FALSE)</f>
        <v>A20 - 王轶男</v>
      </c>
      <c r="F13" s="39" t="str">
        <f>VLOOKUP(A13,A组循环赛4轮!A:D,4,FALSE)</f>
        <v>A2 - 王 丽</v>
      </c>
      <c r="G13" s="39" t="str">
        <f>VLOOKUP(A13,A组循环赛4轮!A:E,5,FALSE)</f>
        <v>A32 - 黄 伟</v>
      </c>
      <c r="H13" s="52">
        <f>VLOOKUP(A13,A组循环赛4轮!A:H,7,FALSE)</f>
        <v>0</v>
      </c>
      <c r="I13" s="52">
        <f>VLOOKUP(A13,A组循环赛4轮!A:H,8,FALSE)</f>
        <v>0</v>
      </c>
      <c r="M13" s="40" t="s">
        <v>335</v>
      </c>
      <c r="N13" s="41">
        <v>12</v>
      </c>
      <c r="O13" s="41" t="str">
        <f>A组循环赛总分!F13</f>
        <v>A12 - Huo Yang</v>
      </c>
      <c r="P13" s="41">
        <f>A组循环赛总分!G13</f>
        <v>0</v>
      </c>
      <c r="Q13" s="42">
        <f>A组循环赛总分!H13</f>
        <v>0</v>
      </c>
    </row>
    <row r="14" spans="1:17" ht="15.75" customHeight="1" x14ac:dyDescent="0.25">
      <c r="A14" s="6" t="s">
        <v>144</v>
      </c>
      <c r="B14" s="37" t="s">
        <v>4</v>
      </c>
      <c r="C14" s="38">
        <f>VLOOKUP(A14,A组循环赛4轮!A:F,6,FALSE)</f>
        <v>4</v>
      </c>
      <c r="D14" s="39" t="str">
        <f>VLOOKUP(A14,A组循环赛4轮!A:B,2,FALSE)</f>
        <v>A10 - Deng Shirley</v>
      </c>
      <c r="E14" s="39" t="str">
        <f>VLOOKUP(A14,A组循环赛4轮!A:C,3,FALSE)</f>
        <v>A22 - 刘 勇</v>
      </c>
      <c r="F14" s="39" t="str">
        <f>VLOOKUP(A14,A组循环赛4轮!A:D,4,FALSE)</f>
        <v>A1 - 王 雅峰</v>
      </c>
      <c r="G14" s="39" t="str">
        <f>VLOOKUP(A14,A组循环赛4轮!A:E,5,FALSE)</f>
        <v>A35 - Peter Ye</v>
      </c>
      <c r="H14" s="52">
        <f>VLOOKUP(A14,A组循环赛4轮!A:H,7,FALSE)</f>
        <v>0</v>
      </c>
      <c r="I14" s="52">
        <f>VLOOKUP(A14,A组循环赛4轮!A:H,8,FALSE)</f>
        <v>0</v>
      </c>
      <c r="M14" s="40" t="s">
        <v>335</v>
      </c>
      <c r="N14" s="41">
        <v>13</v>
      </c>
      <c r="O14" s="41" t="str">
        <f>A组循环赛总分!F14</f>
        <v>A13 - 黄 Shelly</v>
      </c>
      <c r="P14" s="41">
        <f>A组循环赛总分!G14</f>
        <v>0</v>
      </c>
      <c r="Q14" s="42">
        <f>A组循环赛总分!H14</f>
        <v>0</v>
      </c>
    </row>
    <row r="15" spans="1:17" ht="15.75" customHeight="1" x14ac:dyDescent="0.25">
      <c r="A15" s="6" t="s">
        <v>145</v>
      </c>
      <c r="B15" s="37" t="s">
        <v>4</v>
      </c>
      <c r="C15" s="38">
        <f>VLOOKUP(A15,A组循环赛4轮!A:F,6,FALSE)</f>
        <v>5</v>
      </c>
      <c r="D15" s="39" t="str">
        <f>VLOOKUP(A15,A组循环赛4轮!A:B,2,FALSE)</f>
        <v>A8 - 李 敏</v>
      </c>
      <c r="E15" s="39" t="str">
        <f>VLOOKUP(A15,A组循环赛4轮!A:C,3,FALSE)</f>
        <v>A33 - 吴 大本</v>
      </c>
      <c r="F15" s="39" t="str">
        <f>VLOOKUP(A15,A组循环赛4轮!A:D,4,FALSE)</f>
        <v>A3 - 司 丽荣</v>
      </c>
      <c r="G15" s="39" t="str">
        <f>VLOOKUP(A15,A组循环赛4轮!A:E,5,FALSE)</f>
        <v>A4 - 邢 世杰</v>
      </c>
      <c r="H15" s="52">
        <f>VLOOKUP(A15,A组循环赛4轮!A:H,7,FALSE)</f>
        <v>0</v>
      </c>
      <c r="I15" s="52">
        <f>VLOOKUP(A15,A组循环赛4轮!A:H,8,FALSE)</f>
        <v>0</v>
      </c>
      <c r="M15" s="40" t="s">
        <v>335</v>
      </c>
      <c r="N15" s="41">
        <v>14</v>
      </c>
      <c r="O15" s="41" t="str">
        <f>A组循环赛总分!F15</f>
        <v>A14 - Ye Sabrina</v>
      </c>
      <c r="P15" s="41">
        <f>A组循环赛总分!G15</f>
        <v>0</v>
      </c>
      <c r="Q15" s="42">
        <f>A组循环赛总分!H15</f>
        <v>0</v>
      </c>
    </row>
    <row r="16" spans="1:17" ht="15.75" customHeight="1" x14ac:dyDescent="0.25">
      <c r="A16" s="6" t="s">
        <v>146</v>
      </c>
      <c r="B16" s="37" t="s">
        <v>4</v>
      </c>
      <c r="C16" s="38">
        <f>VLOOKUP(A16,A组循环赛4轮!A:F,6,FALSE)</f>
        <v>6</v>
      </c>
      <c r="D16" s="39" t="str">
        <f>VLOOKUP(A16,A组循环赛4轮!A:B,2,FALSE)</f>
        <v>A29 - 由 军</v>
      </c>
      <c r="E16" s="39" t="str">
        <f>VLOOKUP(A16,A组循环赛4轮!A:C,3,FALSE)</f>
        <v>A30 - 王 冬艳</v>
      </c>
      <c r="F16" s="39" t="str">
        <f>VLOOKUP(A16,A组循环赛4轮!A:D,4,FALSE)</f>
        <v>A11 - Xu Bujiang</v>
      </c>
      <c r="G16" s="39" t="str">
        <f>VLOOKUP(A16,A组循环赛4轮!A:E,5,FALSE)</f>
        <v>A17 - 叶 冰</v>
      </c>
      <c r="H16" s="52">
        <f>VLOOKUP(A16,A组循环赛4轮!A:H,7,FALSE)</f>
        <v>0</v>
      </c>
      <c r="I16" s="52">
        <f>VLOOKUP(A16,A组循环赛4轮!A:H,8,FALSE)</f>
        <v>0</v>
      </c>
      <c r="M16" s="40" t="s">
        <v>335</v>
      </c>
      <c r="N16" s="41">
        <v>15</v>
      </c>
      <c r="O16" s="41" t="str">
        <f>A组循环赛总分!F16</f>
        <v>A15 - 高 清</v>
      </c>
      <c r="P16" s="41">
        <f>A组循环赛总分!G16</f>
        <v>0</v>
      </c>
      <c r="Q16" s="42">
        <f>A组循环赛总分!H16</f>
        <v>0</v>
      </c>
    </row>
    <row r="17" spans="1:17" ht="15.75" customHeight="1" x14ac:dyDescent="0.25">
      <c r="A17" s="6" t="s">
        <v>147</v>
      </c>
      <c r="B17" s="37" t="s">
        <v>4</v>
      </c>
      <c r="C17" s="38">
        <f>VLOOKUP(A17,A组循环赛4轮!A:F,6,FALSE)</f>
        <v>1</v>
      </c>
      <c r="D17" s="39" t="str">
        <f>VLOOKUP(A17,A组循环赛4轮!A:B,2,FALSE)</f>
        <v>A23 - 陈 冬娥</v>
      </c>
      <c r="E17" s="39" t="str">
        <f>VLOOKUP(A17,A组循环赛4轮!A:C,3,FALSE)</f>
        <v>A26 - 叶 政</v>
      </c>
      <c r="F17" s="39" t="str">
        <f>VLOOKUP(A17,A组循环赛4轮!A:D,4,FALSE)</f>
        <v>A12 - Huo Yang</v>
      </c>
      <c r="G17" s="39" t="str">
        <f>VLOOKUP(A17,A组循环赛4轮!A:E,5,FALSE)</f>
        <v>A13 - 黄 Shelly</v>
      </c>
      <c r="H17" s="52">
        <f>VLOOKUP(A17,A组循环赛4轮!A:H,7,FALSE)</f>
        <v>0</v>
      </c>
      <c r="I17" s="52">
        <f>VLOOKUP(A17,A组循环赛4轮!A:H,8,FALSE)</f>
        <v>0</v>
      </c>
      <c r="M17" s="40" t="s">
        <v>335</v>
      </c>
      <c r="N17" s="41">
        <v>16</v>
      </c>
      <c r="O17" s="41" t="str">
        <f>A组循环赛总分!F17</f>
        <v>A16 - 肖 凌闻</v>
      </c>
      <c r="P17" s="41">
        <f>A组循环赛总分!G17</f>
        <v>0</v>
      </c>
      <c r="Q17" s="42">
        <f>A组循环赛总分!H17</f>
        <v>0</v>
      </c>
    </row>
    <row r="18" spans="1:17" ht="15.75" customHeight="1" x14ac:dyDescent="0.25">
      <c r="A18" s="6" t="s">
        <v>148</v>
      </c>
      <c r="B18" s="37" t="s">
        <v>4</v>
      </c>
      <c r="C18" s="38">
        <f>VLOOKUP(A18,A组循环赛4轮!A:F,6,FALSE)</f>
        <v>2</v>
      </c>
      <c r="D18" s="39" t="str">
        <f>VLOOKUP(A18,A组循环赛4轮!A:B,2,FALSE)</f>
        <v>A19 - 赵发枚</v>
      </c>
      <c r="E18" s="39" t="str">
        <f>VLOOKUP(A18,A组循环赛4轮!A:C,3,FALSE)</f>
        <v>A24 - 贾云英</v>
      </c>
      <c r="F18" s="39" t="str">
        <f>VLOOKUP(A18,A组循环赛4轮!A:D,4,FALSE)</f>
        <v>A14 - Ye Sabrina</v>
      </c>
      <c r="G18" s="39" t="str">
        <f>VLOOKUP(A18,A组循环赛4轮!A:E,5,FALSE)</f>
        <v>A25 - 崔 云平</v>
      </c>
      <c r="H18" s="52">
        <f>VLOOKUP(A18,A组循环赛4轮!A:H,7,FALSE)</f>
        <v>0</v>
      </c>
      <c r="I18" s="52">
        <f>VLOOKUP(A18,A组循环赛4轮!A:H,8,FALSE)</f>
        <v>0</v>
      </c>
      <c r="M18" s="40" t="s">
        <v>335</v>
      </c>
      <c r="N18" s="41">
        <v>17</v>
      </c>
      <c r="O18" s="41" t="str">
        <f>A组循环赛总分!F18</f>
        <v>A17 - 叶 冰</v>
      </c>
      <c r="P18" s="41">
        <f>A组循环赛总分!G18</f>
        <v>0</v>
      </c>
      <c r="Q18" s="42">
        <f>A组循环赛总分!H18</f>
        <v>0</v>
      </c>
    </row>
    <row r="19" spans="1:17" ht="15.75" customHeight="1" x14ac:dyDescent="0.25">
      <c r="A19" s="6" t="s">
        <v>149</v>
      </c>
      <c r="B19" s="37" t="s">
        <v>4</v>
      </c>
      <c r="C19" s="38">
        <f>VLOOKUP(A19,A组循环赛4轮!A:F,6,FALSE)</f>
        <v>3</v>
      </c>
      <c r="D19" s="39" t="str">
        <f>VLOOKUP(A19,A组循环赛4轮!A:B,2,FALSE)</f>
        <v>A18 - Li Larry</v>
      </c>
      <c r="E19" s="39" t="str">
        <f>VLOOKUP(A19,A组循环赛4轮!A:C,3,FALSE)</f>
        <v>A36 - 毛 佩雷</v>
      </c>
      <c r="F19" s="39" t="str">
        <f>VLOOKUP(A19,A组循环赛4轮!A:D,4,FALSE)</f>
        <v>A16 - 肖 凌闻</v>
      </c>
      <c r="G19" s="39" t="str">
        <f>VLOOKUP(A19,A组循环赛4轮!A:E,5,FALSE)</f>
        <v>A27 - 赵 建勇</v>
      </c>
      <c r="H19" s="52">
        <f>VLOOKUP(A19,A组循环赛4轮!A:H,7,FALSE)</f>
        <v>0</v>
      </c>
      <c r="I19" s="52">
        <f>VLOOKUP(A19,A组循环赛4轮!A:H,8,FALSE)</f>
        <v>0</v>
      </c>
      <c r="M19" s="40" t="s">
        <v>335</v>
      </c>
      <c r="N19" s="41">
        <v>18</v>
      </c>
      <c r="O19" s="41" t="str">
        <f>A组循环赛总分!F19</f>
        <v>A18 - Li Larry</v>
      </c>
      <c r="P19" s="41">
        <f>A组循环赛总分!G19</f>
        <v>0</v>
      </c>
      <c r="Q19" s="42">
        <f>A组循环赛总分!H19</f>
        <v>0</v>
      </c>
    </row>
    <row r="20" spans="1:17" ht="15.75" customHeight="1" x14ac:dyDescent="0.25">
      <c r="A20" s="6" t="s">
        <v>150</v>
      </c>
      <c r="B20" s="37" t="s">
        <v>6</v>
      </c>
      <c r="C20" s="38">
        <f>VLOOKUP(A20,A组循环赛4轮!A:F,6,FALSE)</f>
        <v>1</v>
      </c>
      <c r="D20" s="39" t="str">
        <f>VLOOKUP(A20,A组循环赛4轮!A:B,2,FALSE)</f>
        <v>A33 - 吴 大本</v>
      </c>
      <c r="E20" s="39" t="str">
        <f>VLOOKUP(A20,A组循环赛4轮!A:C,3,FALSE)</f>
        <v>A34 - Chen Jie</v>
      </c>
      <c r="F20" s="39" t="str">
        <f>VLOOKUP(A20,A组循环赛4轮!A:D,4,FALSE)</f>
        <v>A9 - Yi Hongtao</v>
      </c>
      <c r="G20" s="39" t="str">
        <f>VLOOKUP(A20,A组循环赛4轮!A:E,5,FALSE)</f>
        <v>A10 - Deng Shirley</v>
      </c>
      <c r="H20" s="52">
        <f>VLOOKUP(A20,A组循环赛4轮!A:H,7,FALSE)</f>
        <v>0</v>
      </c>
      <c r="I20" s="52">
        <f>VLOOKUP(A20,A组循环赛4轮!A:H,8,FALSE)</f>
        <v>0</v>
      </c>
      <c r="M20" s="40" t="s">
        <v>335</v>
      </c>
      <c r="N20" s="41">
        <v>19</v>
      </c>
      <c r="O20" s="41" t="str">
        <f>A组循环赛总分!F20</f>
        <v>A19 - 赵发枚</v>
      </c>
      <c r="P20" s="41">
        <f>A组循环赛总分!G20</f>
        <v>0</v>
      </c>
      <c r="Q20" s="42">
        <f>A组循环赛总分!H20</f>
        <v>0</v>
      </c>
    </row>
    <row r="21" spans="1:17" ht="15.75" customHeight="1" x14ac:dyDescent="0.25">
      <c r="A21" s="6" t="s">
        <v>151</v>
      </c>
      <c r="B21" s="37" t="s">
        <v>6</v>
      </c>
      <c r="C21" s="38">
        <f>VLOOKUP(A21,A组循环赛4轮!A:F,6,FALSE)</f>
        <v>2</v>
      </c>
      <c r="D21" s="39" t="str">
        <f>VLOOKUP(A21,A组循环赛4轮!A:B,2,FALSE)</f>
        <v>A22 - 刘 勇</v>
      </c>
      <c r="E21" s="39" t="str">
        <f>VLOOKUP(A21,A组循环赛4轮!A:C,3,FALSE)</f>
        <v>A30 - 王 冬艳</v>
      </c>
      <c r="F21" s="39" t="str">
        <f>VLOOKUP(A21,A组循环赛4轮!A:D,4,FALSE)</f>
        <v>A8 - 李 敏</v>
      </c>
      <c r="G21" s="39" t="str">
        <f>VLOOKUP(A21,A组循环赛4轮!A:E,5,FALSE)</f>
        <v>A14 - Ye Sabrina</v>
      </c>
      <c r="H21" s="52">
        <f>VLOOKUP(A21,A组循环赛4轮!A:H,7,FALSE)</f>
        <v>0</v>
      </c>
      <c r="I21" s="52">
        <f>VLOOKUP(A21,A组循环赛4轮!A:H,8,FALSE)</f>
        <v>0</v>
      </c>
      <c r="M21" s="40" t="s">
        <v>335</v>
      </c>
      <c r="N21" s="41">
        <v>20</v>
      </c>
      <c r="O21" s="41" t="str">
        <f>A组循环赛总分!F21</f>
        <v>A20 - 王轶男</v>
      </c>
      <c r="P21" s="41">
        <f>A组循环赛总分!G21</f>
        <v>0</v>
      </c>
      <c r="Q21" s="42">
        <f>A组循环赛总分!H21</f>
        <v>0</v>
      </c>
    </row>
    <row r="22" spans="1:17" ht="15.75" customHeight="1" x14ac:dyDescent="0.25">
      <c r="A22" s="6" t="s">
        <v>152</v>
      </c>
      <c r="B22" s="37" t="s">
        <v>6</v>
      </c>
      <c r="C22" s="38">
        <f>VLOOKUP(A22,A组循环赛4轮!A:F,6,FALSE)</f>
        <v>3</v>
      </c>
      <c r="D22" s="39" t="str">
        <f>VLOOKUP(A22,A组循环赛4轮!A:B,2,FALSE)</f>
        <v>A27 - 赵 建勇</v>
      </c>
      <c r="E22" s="39" t="str">
        <f>VLOOKUP(A22,A组循环赛4轮!A:C,3,FALSE)</f>
        <v>A36 - 毛 佩雷</v>
      </c>
      <c r="F22" s="39" t="str">
        <f>VLOOKUP(A22,A组循环赛4轮!A:D,4,FALSE)</f>
        <v>A15 - 高 清</v>
      </c>
      <c r="G22" s="39" t="str">
        <f>VLOOKUP(A22,A组循环赛4轮!A:E,5,FALSE)</f>
        <v>A28 - 杨芳</v>
      </c>
      <c r="H22" s="52">
        <f>VLOOKUP(A22,A组循环赛4轮!A:H,7,FALSE)</f>
        <v>0</v>
      </c>
      <c r="I22" s="52">
        <f>VLOOKUP(A22,A组循环赛4轮!A:H,8,FALSE)</f>
        <v>0</v>
      </c>
      <c r="M22" s="40" t="s">
        <v>335</v>
      </c>
      <c r="N22" s="41">
        <v>21</v>
      </c>
      <c r="O22" s="41" t="str">
        <f>A组循环赛总分!F22</f>
        <v>A21 - 哈 悦</v>
      </c>
      <c r="P22" s="41">
        <f>A组循环赛总分!G22</f>
        <v>0</v>
      </c>
      <c r="Q22" s="42">
        <f>A组循环赛总分!H22</f>
        <v>0</v>
      </c>
    </row>
    <row r="23" spans="1:17" ht="15.75" customHeight="1" x14ac:dyDescent="0.25">
      <c r="A23" s="6" t="s">
        <v>153</v>
      </c>
      <c r="B23" s="37" t="s">
        <v>6</v>
      </c>
      <c r="C23" s="38">
        <f>VLOOKUP(A23,A组循环赛4轮!A:F,6,FALSE)</f>
        <v>4</v>
      </c>
      <c r="D23" s="39" t="str">
        <f>VLOOKUP(A23,A组循环赛4轮!A:B,2,FALSE)</f>
        <v>A7 - 黄 文哲</v>
      </c>
      <c r="E23" s="39" t="str">
        <f>VLOOKUP(A23,A组循环赛4轮!A:C,3,FALSE)</f>
        <v>A29 - 由 军</v>
      </c>
      <c r="F23" s="39" t="str">
        <f>VLOOKUP(A23,A组循环赛4轮!A:D,4,FALSE)</f>
        <v>A1 - 王 雅峰</v>
      </c>
      <c r="G23" s="39" t="str">
        <f>VLOOKUP(A23,A组循环赛4轮!A:E,5,FALSE)</f>
        <v>A12 - Huo Yang</v>
      </c>
      <c r="H23" s="52">
        <f>VLOOKUP(A23,A组循环赛4轮!A:H,7,FALSE)</f>
        <v>0</v>
      </c>
      <c r="I23" s="52">
        <f>VLOOKUP(A23,A组循环赛4轮!A:H,8,FALSE)</f>
        <v>0</v>
      </c>
      <c r="M23" s="40" t="s">
        <v>335</v>
      </c>
      <c r="N23" s="41">
        <v>22</v>
      </c>
      <c r="O23" s="41" t="str">
        <f>A组循环赛总分!F23</f>
        <v>A22 - 刘 勇</v>
      </c>
      <c r="P23" s="41">
        <f>A组循环赛总分!G23</f>
        <v>0</v>
      </c>
      <c r="Q23" s="42">
        <f>A组循环赛总分!H23</f>
        <v>0</v>
      </c>
    </row>
    <row r="24" spans="1:17" ht="15.75" customHeight="1" x14ac:dyDescent="0.25">
      <c r="A24" s="6" t="s">
        <v>154</v>
      </c>
      <c r="B24" s="37" t="s">
        <v>6</v>
      </c>
      <c r="C24" s="38">
        <f>VLOOKUP(A24,A组循环赛4轮!A:F,6,FALSE)</f>
        <v>5</v>
      </c>
      <c r="D24" s="39" t="str">
        <f>VLOOKUP(A24,A组循环赛4轮!A:B,2,FALSE)</f>
        <v>A20 - 王轶男</v>
      </c>
      <c r="E24" s="39" t="str">
        <f>VLOOKUP(A24,A组循环赛4轮!A:C,3,FALSE)</f>
        <v>A25 - 崔 云平</v>
      </c>
      <c r="F24" s="39" t="str">
        <f>VLOOKUP(A24,A组循环赛4轮!A:D,4,FALSE)</f>
        <v>A6 - 李 文</v>
      </c>
      <c r="G24" s="39" t="str">
        <f>VLOOKUP(A24,A组循环赛4轮!A:E,5,FALSE)</f>
        <v>A26 - 叶 政</v>
      </c>
      <c r="H24" s="52">
        <f>VLOOKUP(A24,A组循环赛4轮!A:H,7,FALSE)</f>
        <v>0</v>
      </c>
      <c r="I24" s="52">
        <f>VLOOKUP(A24,A组循环赛4轮!A:H,8,FALSE)</f>
        <v>0</v>
      </c>
      <c r="M24" s="40" t="s">
        <v>335</v>
      </c>
      <c r="N24" s="41">
        <v>23</v>
      </c>
      <c r="O24" s="41" t="str">
        <f>A组循环赛总分!F24</f>
        <v>A23 - 陈 冬娥</v>
      </c>
      <c r="P24" s="41">
        <f>A组循环赛总分!G24</f>
        <v>0</v>
      </c>
      <c r="Q24" s="42">
        <f>A组循环赛总分!H24</f>
        <v>0</v>
      </c>
    </row>
    <row r="25" spans="1:17" ht="15.75" customHeight="1" x14ac:dyDescent="0.25">
      <c r="A25" s="6" t="s">
        <v>155</v>
      </c>
      <c r="B25" s="37" t="s">
        <v>6</v>
      </c>
      <c r="C25" s="38">
        <f>VLOOKUP(A25,A组循环赛4轮!A:F,6,FALSE)</f>
        <v>6</v>
      </c>
      <c r="D25" s="39" t="str">
        <f>VLOOKUP(A25,A组循环赛4轮!A:B,2,FALSE)</f>
        <v>A13 - 黄 Shelly</v>
      </c>
      <c r="E25" s="39" t="str">
        <f>VLOOKUP(A25,A组循环赛4轮!A:C,3,FALSE)</f>
        <v>A35 - Peter Ye</v>
      </c>
      <c r="F25" s="39" t="str">
        <f>VLOOKUP(A25,A组循环赛4轮!A:D,4,FALSE)</f>
        <v>A3 - 司 丽荣</v>
      </c>
      <c r="G25" s="39" t="str">
        <f>VLOOKUP(A25,A组循环赛4轮!A:E,5,FALSE)</f>
        <v>A31 - Coco Cao</v>
      </c>
      <c r="H25" s="52">
        <f>VLOOKUP(A25,A组循环赛4轮!A:H,7,FALSE)</f>
        <v>0</v>
      </c>
      <c r="I25" s="52">
        <f>VLOOKUP(A25,A组循环赛4轮!A:H,8,FALSE)</f>
        <v>0</v>
      </c>
      <c r="M25" s="40" t="s">
        <v>335</v>
      </c>
      <c r="N25" s="41">
        <v>24</v>
      </c>
      <c r="O25" s="41" t="str">
        <f>A组循环赛总分!F25</f>
        <v>A24 - 贾云英</v>
      </c>
      <c r="P25" s="41">
        <f>A组循环赛总分!G25</f>
        <v>0</v>
      </c>
      <c r="Q25" s="42">
        <f>A组循环赛总分!H25</f>
        <v>0</v>
      </c>
    </row>
    <row r="26" spans="1:17" ht="15.75" customHeight="1" x14ac:dyDescent="0.25">
      <c r="A26" s="6" t="s">
        <v>156</v>
      </c>
      <c r="B26" s="37" t="s">
        <v>6</v>
      </c>
      <c r="C26" s="38">
        <f>VLOOKUP(A26,A组循环赛4轮!A:F,6,FALSE)</f>
        <v>1</v>
      </c>
      <c r="D26" s="39" t="str">
        <f>VLOOKUP(A26,A组循环赛4轮!A:B,2,FALSE)</f>
        <v>A23 - 陈 冬娥</v>
      </c>
      <c r="E26" s="39" t="str">
        <f>VLOOKUP(A26,A组循环赛4轮!A:C,3,FALSE)</f>
        <v>A24 - 贾云英</v>
      </c>
      <c r="F26" s="39" t="str">
        <f>VLOOKUP(A26,A组循环赛4轮!A:D,4,FALSE)</f>
        <v>A2 - 王 丽</v>
      </c>
      <c r="G26" s="39" t="str">
        <f>VLOOKUP(A26,A组循环赛4轮!A:E,5,FALSE)</f>
        <v>A4 - 邢 世杰</v>
      </c>
      <c r="H26" s="52">
        <f>VLOOKUP(A26,A组循环赛4轮!A:H,7,FALSE)</f>
        <v>0</v>
      </c>
      <c r="I26" s="52">
        <f>VLOOKUP(A26,A组循环赛4轮!A:H,8,FALSE)</f>
        <v>0</v>
      </c>
      <c r="M26" s="40" t="s">
        <v>335</v>
      </c>
      <c r="N26" s="41">
        <v>25</v>
      </c>
      <c r="O26" s="41" t="str">
        <f>A组循环赛总分!F26</f>
        <v>A25 - 崔 云平</v>
      </c>
      <c r="P26" s="41">
        <f>A组循环赛总分!G26</f>
        <v>0</v>
      </c>
      <c r="Q26" s="42">
        <f>A组循环赛总分!H26</f>
        <v>0</v>
      </c>
    </row>
    <row r="27" spans="1:17" ht="15.75" customHeight="1" x14ac:dyDescent="0.25">
      <c r="A27" s="6" t="s">
        <v>157</v>
      </c>
      <c r="B27" s="37" t="s">
        <v>6</v>
      </c>
      <c r="C27" s="38">
        <f>VLOOKUP(A27,A组循环赛4轮!A:F,6,FALSE)</f>
        <v>2</v>
      </c>
      <c r="D27" s="39" t="str">
        <f>VLOOKUP(A27,A组循环赛4轮!A:B,2,FALSE)</f>
        <v>A18 - Li Larry</v>
      </c>
      <c r="E27" s="39" t="str">
        <f>VLOOKUP(A27,A组循环赛4轮!A:C,3,FALSE)</f>
        <v>A19 - 赵发枚</v>
      </c>
      <c r="F27" s="39" t="str">
        <f>VLOOKUP(A27,A组循环赛4轮!A:D,4,FALSE)</f>
        <v>A5 - Hu Kevin</v>
      </c>
      <c r="G27" s="39" t="str">
        <f>VLOOKUP(A27,A组循环赛4轮!A:E,5,FALSE)</f>
        <v>A11 - Xu Bujiang</v>
      </c>
      <c r="H27" s="52">
        <f>VLOOKUP(A27,A组循环赛4轮!A:H,7,FALSE)</f>
        <v>0</v>
      </c>
      <c r="I27" s="52">
        <f>VLOOKUP(A27,A组循环赛4轮!A:H,8,FALSE)</f>
        <v>0</v>
      </c>
      <c r="M27" s="40" t="s">
        <v>335</v>
      </c>
      <c r="N27" s="41">
        <v>26</v>
      </c>
      <c r="O27" s="41" t="str">
        <f>A组循环赛总分!F27</f>
        <v>A26 - 叶 政</v>
      </c>
      <c r="P27" s="41">
        <f>A组循环赛总分!G27</f>
        <v>0</v>
      </c>
      <c r="Q27" s="42">
        <f>A组循环赛总分!H27</f>
        <v>0</v>
      </c>
    </row>
    <row r="28" spans="1:17" ht="15.75" customHeight="1" x14ac:dyDescent="0.25">
      <c r="A28" s="6" t="s">
        <v>158</v>
      </c>
      <c r="B28" s="37" t="s">
        <v>6</v>
      </c>
      <c r="C28" s="38">
        <f>VLOOKUP(A28,A组循环赛4轮!A:F,6,FALSE)</f>
        <v>3</v>
      </c>
      <c r="D28" s="39" t="str">
        <f>VLOOKUP(A28,A组循环赛4轮!A:B,2,FALSE)</f>
        <v>A21 - 哈 悦</v>
      </c>
      <c r="E28" s="39" t="str">
        <f>VLOOKUP(A28,A组循环赛4轮!A:C,3,FALSE)</f>
        <v>A32 - 黄 伟</v>
      </c>
      <c r="F28" s="39" t="str">
        <f>VLOOKUP(A28,A组循环赛4轮!A:D,4,FALSE)</f>
        <v>A16 - 肖 凌闻</v>
      </c>
      <c r="G28" s="39" t="str">
        <f>VLOOKUP(A28,A组循环赛4轮!A:E,5,FALSE)</f>
        <v>A17 - 叶 冰</v>
      </c>
      <c r="H28" s="52">
        <f>VLOOKUP(A28,A组循环赛4轮!A:H,7,FALSE)</f>
        <v>0</v>
      </c>
      <c r="I28" s="52">
        <f>VLOOKUP(A28,A组循环赛4轮!A:H,8,FALSE)</f>
        <v>0</v>
      </c>
      <c r="M28" s="40" t="s">
        <v>335</v>
      </c>
      <c r="N28" s="41">
        <v>27</v>
      </c>
      <c r="O28" s="41" t="str">
        <f>A组循环赛总分!F28</f>
        <v>A27 - 赵 建勇</v>
      </c>
      <c r="P28" s="41">
        <f>A组循环赛总分!G28</f>
        <v>0</v>
      </c>
      <c r="Q28" s="42">
        <f>A组循环赛总分!H28</f>
        <v>0</v>
      </c>
    </row>
    <row r="29" spans="1:17" ht="15.75" customHeight="1" x14ac:dyDescent="0.25">
      <c r="A29" s="6" t="s">
        <v>159</v>
      </c>
      <c r="B29" s="37" t="s">
        <v>7</v>
      </c>
      <c r="C29" s="38">
        <f>VLOOKUP(A29,A组循环赛4轮!A:F,6,FALSE)</f>
        <v>1</v>
      </c>
      <c r="D29" s="39" t="str">
        <f>VLOOKUP(A29,A组循环赛4轮!A:B,2,FALSE)</f>
        <v>A21 - 哈 悦</v>
      </c>
      <c r="E29" s="39" t="str">
        <f>VLOOKUP(A29,A组循环赛4轮!A:C,3,FALSE)</f>
        <v>A35 - Peter Ye</v>
      </c>
      <c r="F29" s="39" t="str">
        <f>VLOOKUP(A29,A组循环赛4轮!A:D,4,FALSE)</f>
        <v>A12 - Huo Yang</v>
      </c>
      <c r="G29" s="39" t="str">
        <f>VLOOKUP(A29,A组循环赛4轮!A:E,5,FALSE)</f>
        <v>A30 - 王 冬艳</v>
      </c>
      <c r="H29" s="52">
        <f>VLOOKUP(A29,A组循环赛4轮!A:H,7,FALSE)</f>
        <v>0</v>
      </c>
      <c r="I29" s="52">
        <f>VLOOKUP(A29,A组循环赛4轮!A:H,8,FALSE)</f>
        <v>0</v>
      </c>
      <c r="M29" s="40" t="s">
        <v>335</v>
      </c>
      <c r="N29" s="41">
        <v>28</v>
      </c>
      <c r="O29" s="41" t="str">
        <f>A组循环赛总分!F29</f>
        <v>A28 - 杨芳</v>
      </c>
      <c r="P29" s="41">
        <f>A组循环赛总分!G29</f>
        <v>0</v>
      </c>
      <c r="Q29" s="42">
        <f>A组循环赛总分!H29</f>
        <v>0</v>
      </c>
    </row>
    <row r="30" spans="1:17" ht="15.75" customHeight="1" x14ac:dyDescent="0.25">
      <c r="A30" s="6" t="s">
        <v>160</v>
      </c>
      <c r="B30" s="37" t="s">
        <v>7</v>
      </c>
      <c r="C30" s="38">
        <f>VLOOKUP(A30,A组循环赛4轮!A:F,6,FALSE)</f>
        <v>2</v>
      </c>
      <c r="D30" s="39" t="str">
        <f>VLOOKUP(A30,A组循环赛4轮!A:B,2,FALSE)</f>
        <v>A19 - 赵发枚</v>
      </c>
      <c r="E30" s="39" t="str">
        <f>VLOOKUP(A30,A组循环赛4轮!A:C,3,FALSE)</f>
        <v>A26 - 叶 政</v>
      </c>
      <c r="F30" s="39" t="str">
        <f>VLOOKUP(A30,A组循环赛4轮!A:D,4,FALSE)</f>
        <v>A22 - 刘 勇</v>
      </c>
      <c r="G30" s="39" t="str">
        <f>VLOOKUP(A30,A组循环赛4轮!A:E,5,FALSE)</f>
        <v>A34 - Chen Jie</v>
      </c>
      <c r="H30" s="52">
        <f>VLOOKUP(A30,A组循环赛4轮!A:H,7,FALSE)</f>
        <v>0</v>
      </c>
      <c r="I30" s="52">
        <f>VLOOKUP(A30,A组循环赛4轮!A:H,8,FALSE)</f>
        <v>0</v>
      </c>
      <c r="M30" s="40" t="s">
        <v>335</v>
      </c>
      <c r="N30" s="41">
        <v>29</v>
      </c>
      <c r="O30" s="41" t="str">
        <f>A组循环赛总分!F30</f>
        <v>A29 - 由 军</v>
      </c>
      <c r="P30" s="41">
        <f>A组循环赛总分!G30</f>
        <v>0</v>
      </c>
      <c r="Q30" s="42">
        <f>A组循环赛总分!H30</f>
        <v>0</v>
      </c>
    </row>
    <row r="31" spans="1:17" ht="15.75" customHeight="1" x14ac:dyDescent="0.25">
      <c r="A31" s="6" t="s">
        <v>161</v>
      </c>
      <c r="B31" s="37" t="s">
        <v>7</v>
      </c>
      <c r="C31" s="38">
        <f>VLOOKUP(A31,A组循环赛4轮!A:F,6,FALSE)</f>
        <v>3</v>
      </c>
      <c r="D31" s="39" t="str">
        <f>VLOOKUP(A31,A组循环赛4轮!A:B,2,FALSE)</f>
        <v>A15 - 高 清</v>
      </c>
      <c r="E31" s="39" t="str">
        <f>VLOOKUP(A31,A组循环赛4轮!A:C,3,FALSE)</f>
        <v>A20 - 王轶男</v>
      </c>
      <c r="F31" s="39" t="str">
        <f>VLOOKUP(A31,A组循环赛4轮!A:D,4,FALSE)</f>
        <v>A13 - 黄 Shelly</v>
      </c>
      <c r="G31" s="39" t="str">
        <f>VLOOKUP(A31,A组循环赛4轮!A:E,5,FALSE)</f>
        <v>A33 - 吴 大本</v>
      </c>
      <c r="H31" s="52">
        <f>VLOOKUP(A31,A组循环赛4轮!A:H,7,FALSE)</f>
        <v>0</v>
      </c>
      <c r="I31" s="52">
        <f>VLOOKUP(A31,A组循环赛4轮!A:H,8,FALSE)</f>
        <v>0</v>
      </c>
      <c r="M31" s="40" t="s">
        <v>335</v>
      </c>
      <c r="N31" s="41">
        <v>30</v>
      </c>
      <c r="O31" s="41" t="str">
        <f>A组循环赛总分!F31</f>
        <v>A30 - 王 冬艳</v>
      </c>
      <c r="P31" s="41">
        <f>A组循环赛总分!G31</f>
        <v>0</v>
      </c>
      <c r="Q31" s="42">
        <f>A组循环赛总分!H31</f>
        <v>0</v>
      </c>
    </row>
    <row r="32" spans="1:17" ht="15.75" customHeight="1" x14ac:dyDescent="0.25">
      <c r="A32" s="6" t="s">
        <v>162</v>
      </c>
      <c r="B32" s="37" t="s">
        <v>7</v>
      </c>
      <c r="C32" s="38">
        <f>VLOOKUP(A32,A组循环赛4轮!A:F,6,FALSE)</f>
        <v>4</v>
      </c>
      <c r="D32" s="39" t="str">
        <f>VLOOKUP(A32,A组循环赛4轮!A:B,2,FALSE)</f>
        <v>A9 - Yi Hongtao</v>
      </c>
      <c r="E32" s="39" t="str">
        <f>VLOOKUP(A32,A组循环赛4轮!A:C,3,FALSE)</f>
        <v>A24 - 贾云英</v>
      </c>
      <c r="F32" s="39" t="str">
        <f>VLOOKUP(A32,A组循环赛4轮!A:D,4,FALSE)</f>
        <v>A18 - Li Larry</v>
      </c>
      <c r="G32" s="39" t="str">
        <f>VLOOKUP(A32,A组循环赛4轮!A:E,5,FALSE)</f>
        <v>A28 - 杨芳</v>
      </c>
      <c r="H32" s="52">
        <f>VLOOKUP(A32,A组循环赛4轮!A:H,7,FALSE)</f>
        <v>0</v>
      </c>
      <c r="I32" s="52">
        <f>VLOOKUP(A32,A组循环赛4轮!A:H,8,FALSE)</f>
        <v>0</v>
      </c>
      <c r="M32" s="40" t="s">
        <v>335</v>
      </c>
      <c r="N32" s="41">
        <v>31</v>
      </c>
      <c r="O32" s="41" t="str">
        <f>A组循环赛总分!F32</f>
        <v>A31 - Coco Cao</v>
      </c>
      <c r="P32" s="41">
        <f>A组循环赛总分!G32</f>
        <v>0</v>
      </c>
      <c r="Q32" s="42">
        <f>A组循环赛总分!H32</f>
        <v>0</v>
      </c>
    </row>
    <row r="33" spans="1:17" ht="15.75" customHeight="1" x14ac:dyDescent="0.25">
      <c r="A33" s="6" t="s">
        <v>163</v>
      </c>
      <c r="B33" s="37" t="s">
        <v>7</v>
      </c>
      <c r="C33" s="38">
        <f>VLOOKUP(A33,A组循环赛4轮!A:F,6,FALSE)</f>
        <v>5</v>
      </c>
      <c r="D33" s="39" t="str">
        <f>VLOOKUP(A33,A组循环赛4轮!A:B,2,FALSE)</f>
        <v>A10 - Deng Shirley</v>
      </c>
      <c r="E33" s="39" t="str">
        <f>VLOOKUP(A33,A组循环赛4轮!A:C,3,FALSE)</f>
        <v>A32 - 黄 伟</v>
      </c>
      <c r="F33" s="39" t="str">
        <f>VLOOKUP(A33,A组循环赛4轮!A:D,4,FALSE)</f>
        <v>A8 - 李 敏</v>
      </c>
      <c r="G33" s="39" t="str">
        <f>VLOOKUP(A33,A组循环赛4轮!A:E,5,FALSE)</f>
        <v>A29 - 由 军</v>
      </c>
      <c r="H33" s="52">
        <f>VLOOKUP(A33,A组循环赛4轮!A:H,7,FALSE)</f>
        <v>0</v>
      </c>
      <c r="I33" s="52">
        <f>VLOOKUP(A33,A组循环赛4轮!A:H,8,FALSE)</f>
        <v>0</v>
      </c>
      <c r="M33" s="40" t="s">
        <v>335</v>
      </c>
      <c r="N33" s="41">
        <v>32</v>
      </c>
      <c r="O33" s="41" t="str">
        <f>A组循环赛总分!F33</f>
        <v>A32 - 黄 伟</v>
      </c>
      <c r="P33" s="41">
        <f>A组循环赛总分!G33</f>
        <v>0</v>
      </c>
      <c r="Q33" s="42">
        <f>A组循环赛总分!H33</f>
        <v>0</v>
      </c>
    </row>
    <row r="34" spans="1:17" ht="15.75" customHeight="1" x14ac:dyDescent="0.25">
      <c r="A34" s="6" t="s">
        <v>164</v>
      </c>
      <c r="B34" s="37" t="s">
        <v>7</v>
      </c>
      <c r="C34" s="38">
        <f>VLOOKUP(A34,A组循环赛4轮!A:F,6,FALSE)</f>
        <v>6</v>
      </c>
      <c r="D34" s="39" t="str">
        <f>VLOOKUP(A34,A组循环赛4轮!A:B,2,FALSE)</f>
        <v>A1 - 王 雅峰</v>
      </c>
      <c r="E34" s="39" t="str">
        <f>VLOOKUP(A34,A组循环赛4轮!A:C,3,FALSE)</f>
        <v>A25 - 崔 云平</v>
      </c>
      <c r="F34" s="39" t="str">
        <f>VLOOKUP(A34,A组循环赛4轮!A:D,4,FALSE)</f>
        <v>A16 - 肖 凌闻</v>
      </c>
      <c r="G34" s="39" t="str">
        <f>VLOOKUP(A34,A组循环赛4轮!A:E,5,FALSE)</f>
        <v>A36 - 毛 佩雷</v>
      </c>
      <c r="H34" s="52">
        <f>VLOOKUP(A34,A组循环赛4轮!A:H,7,FALSE)</f>
        <v>0</v>
      </c>
      <c r="I34" s="52">
        <f>VLOOKUP(A34,A组循环赛4轮!A:H,8,FALSE)</f>
        <v>0</v>
      </c>
      <c r="M34" s="40" t="s">
        <v>335</v>
      </c>
      <c r="N34" s="41">
        <v>33</v>
      </c>
      <c r="O34" s="41" t="str">
        <f>A组循环赛总分!F34</f>
        <v>A33 - 吴 大本</v>
      </c>
      <c r="P34" s="41">
        <f>A组循环赛总分!G34</f>
        <v>0</v>
      </c>
      <c r="Q34" s="42">
        <f>A组循环赛总分!H34</f>
        <v>0</v>
      </c>
    </row>
    <row r="35" spans="1:17" ht="15.75" customHeight="1" x14ac:dyDescent="0.25">
      <c r="A35" s="6" t="s">
        <v>165</v>
      </c>
      <c r="B35" s="37" t="s">
        <v>7</v>
      </c>
      <c r="C35" s="38">
        <f>VLOOKUP(A35,A组循环赛4轮!A:F,6,FALSE)</f>
        <v>1</v>
      </c>
      <c r="D35" s="39" t="str">
        <f>VLOOKUP(A35,A组循环赛4轮!A:B,2,FALSE)</f>
        <v>A7 - 黄 文哲</v>
      </c>
      <c r="E35" s="39" t="str">
        <f>VLOOKUP(A35,A组循环赛4轮!A:C,3,FALSE)</f>
        <v>A17 - 叶 冰</v>
      </c>
      <c r="F35" s="39" t="str">
        <f>VLOOKUP(A35,A组循环赛4轮!A:D,4,FALSE)</f>
        <v>A4 - 邢 世杰</v>
      </c>
      <c r="G35" s="39" t="str">
        <f>VLOOKUP(A35,A组循环赛4轮!A:E,5,FALSE)</f>
        <v>A27 - 赵 建勇</v>
      </c>
      <c r="H35" s="52">
        <f>VLOOKUP(A35,A组循环赛4轮!A:H,7,FALSE)</f>
        <v>0</v>
      </c>
      <c r="I35" s="52">
        <f>VLOOKUP(A35,A组循环赛4轮!A:H,8,FALSE)</f>
        <v>0</v>
      </c>
      <c r="M35" s="40" t="s">
        <v>335</v>
      </c>
      <c r="N35" s="41">
        <v>34</v>
      </c>
      <c r="O35" s="41" t="str">
        <f>A组循环赛总分!F35</f>
        <v>A34 - Chen Jie</v>
      </c>
      <c r="P35" s="41">
        <f>A组循环赛总分!G35</f>
        <v>0</v>
      </c>
      <c r="Q35" s="42">
        <f>A组循环赛总分!H35</f>
        <v>0</v>
      </c>
    </row>
    <row r="36" spans="1:17" ht="15.75" customHeight="1" x14ac:dyDescent="0.25">
      <c r="A36" s="6" t="s">
        <v>166</v>
      </c>
      <c r="B36" s="37" t="s">
        <v>7</v>
      </c>
      <c r="C36" s="38">
        <f>VLOOKUP(A36,A组循环赛4轮!A:F,6,FALSE)</f>
        <v>2</v>
      </c>
      <c r="D36" s="39" t="str">
        <f>VLOOKUP(A36,A组循环赛4轮!A:B,2,FALSE)</f>
        <v>A5 - Hu Kevin</v>
      </c>
      <c r="E36" s="39" t="str">
        <f>VLOOKUP(A36,A组循环赛4轮!A:C,3,FALSE)</f>
        <v>A23 - 陈 冬娥</v>
      </c>
      <c r="F36" s="39" t="str">
        <f>VLOOKUP(A36,A组循环赛4轮!A:D,4,FALSE)</f>
        <v>A6 - 李 文</v>
      </c>
      <c r="G36" s="39" t="str">
        <f>VLOOKUP(A36,A组循环赛4轮!A:E,5,FALSE)</f>
        <v>A11 - Xu Bujiang</v>
      </c>
      <c r="H36" s="52">
        <f>VLOOKUP(A36,A组循环赛4轮!A:H,7,FALSE)</f>
        <v>0</v>
      </c>
      <c r="I36" s="52">
        <f>VLOOKUP(A36,A组循环赛4轮!A:H,8,FALSE)</f>
        <v>0</v>
      </c>
      <c r="M36" s="40" t="s">
        <v>335</v>
      </c>
      <c r="N36" s="41">
        <v>35</v>
      </c>
      <c r="O36" s="41" t="str">
        <f>A组循环赛总分!F36</f>
        <v>A35 - Peter Ye</v>
      </c>
      <c r="P36" s="41">
        <f>A组循环赛总分!G36</f>
        <v>0</v>
      </c>
      <c r="Q36" s="42">
        <f>A组循环赛总分!H36</f>
        <v>0</v>
      </c>
    </row>
    <row r="37" spans="1:17" ht="15.75" customHeight="1" x14ac:dyDescent="0.25">
      <c r="A37" s="6" t="s">
        <v>167</v>
      </c>
      <c r="B37" s="37" t="s">
        <v>7</v>
      </c>
      <c r="C37" s="38">
        <f>VLOOKUP(A37,A组循环赛4轮!A:F,6,FALSE)</f>
        <v>3</v>
      </c>
      <c r="D37" s="39" t="str">
        <f>VLOOKUP(A37,A组循环赛4轮!A:B,2,FALSE)</f>
        <v>A2 - 王 丽</v>
      </c>
      <c r="E37" s="39" t="str">
        <f>VLOOKUP(A37,A组循环赛4轮!A:C,3,FALSE)</f>
        <v>A31 - Coco Cao</v>
      </c>
      <c r="F37" s="39" t="str">
        <f>VLOOKUP(A37,A组循环赛4轮!A:D,4,FALSE)</f>
        <v>A3 - 司 丽荣</v>
      </c>
      <c r="G37" s="39" t="str">
        <f>VLOOKUP(A37,A组循环赛4轮!A:E,5,FALSE)</f>
        <v>A14 - Ye Sabrina</v>
      </c>
      <c r="H37" s="52">
        <f>VLOOKUP(A37,A组循环赛4轮!A:H,7,FALSE)</f>
        <v>0</v>
      </c>
      <c r="I37" s="52">
        <f>VLOOKUP(A37,A组循环赛4轮!A:H,8,FALSE)</f>
        <v>0</v>
      </c>
      <c r="M37" s="40" t="s">
        <v>335</v>
      </c>
      <c r="N37" s="41">
        <v>36</v>
      </c>
      <c r="O37" s="41" t="str">
        <f>A组循环赛总分!F37</f>
        <v>A36 - 毛 佩雷</v>
      </c>
      <c r="P37" s="41">
        <f>A组循环赛总分!G37</f>
        <v>0</v>
      </c>
      <c r="Q37" s="42">
        <f>A组循环赛总分!H37</f>
        <v>0</v>
      </c>
    </row>
    <row r="38" spans="1:17" ht="15.75" customHeight="1" x14ac:dyDescent="0.25">
      <c r="A38" s="6" t="s">
        <v>180</v>
      </c>
      <c r="B38" s="37" t="s">
        <v>336</v>
      </c>
      <c r="C38" s="38">
        <f>VLOOKUP(A38,A组淘汰赛!A:H,8,FALSE)</f>
        <v>1</v>
      </c>
      <c r="D38" s="39" t="str">
        <f>VLOOKUP(A38,A组淘汰赛!A:H,2,FALSE)</f>
        <v>A5 - Hu Kevin</v>
      </c>
      <c r="E38" s="39" t="str">
        <f>VLOOKUP(A38,A组淘汰赛!A:H,3,FALSE)</f>
        <v>A6 - 李 文</v>
      </c>
      <c r="F38" s="39" t="str">
        <f>VLOOKUP(A38,A组淘汰赛!A:H,4,FALSE)</f>
        <v>A27 - 赵 建勇</v>
      </c>
      <c r="G38" s="39" t="str">
        <f>VLOOKUP(A38,A组淘汰赛!A:H,5,FALSE)</f>
        <v>A28 - 杨芳</v>
      </c>
      <c r="H38" s="52">
        <f>VLOOKUP(A38,A组淘汰赛!A:H,6,FALSE)</f>
        <v>0</v>
      </c>
      <c r="I38" s="52">
        <f>VLOOKUP(A38,A组淘汰赛!A:H,7,FALSE)</f>
        <v>0</v>
      </c>
      <c r="M38" s="43" t="s">
        <v>337</v>
      </c>
      <c r="N38" s="44">
        <v>1</v>
      </c>
      <c r="O38" s="44" t="str">
        <f>B组循环赛总分!F2</f>
        <v>B1 - 张 卫明</v>
      </c>
      <c r="P38" s="45">
        <f>B组循环赛总分!G2</f>
        <v>0</v>
      </c>
      <c r="Q38" s="45">
        <f>B组循环赛总分!H2</f>
        <v>0</v>
      </c>
    </row>
    <row r="39" spans="1:17" ht="15.75" customHeight="1" x14ac:dyDescent="0.25">
      <c r="A39" s="6" t="s">
        <v>187</v>
      </c>
      <c r="B39" s="37" t="s">
        <v>336</v>
      </c>
      <c r="C39" s="38">
        <f>VLOOKUP(A39,A组淘汰赛!A:H,8,FALSE)</f>
        <v>2</v>
      </c>
      <c r="D39" s="39" t="str">
        <f>VLOOKUP(A39,A组淘汰赛!A:H,2,FALSE)</f>
        <v>A7 - 黄 文哲</v>
      </c>
      <c r="E39" s="39" t="str">
        <f>VLOOKUP(A39,A组淘汰赛!A:H,3,FALSE)</f>
        <v>A8 - 李 敏</v>
      </c>
      <c r="F39" s="39" t="str">
        <f>VLOOKUP(A39,A组淘汰赛!A:H,4,FALSE)</f>
        <v>A25 - 崔 云平</v>
      </c>
      <c r="G39" s="39" t="str">
        <f>VLOOKUP(A39,A组淘汰赛!A:H,5,FALSE)</f>
        <v>A26 - 叶 政</v>
      </c>
      <c r="H39" s="52">
        <f>VLOOKUP(A39,A组淘汰赛!A:H,6,FALSE)</f>
        <v>0</v>
      </c>
      <c r="I39" s="52">
        <f>VLOOKUP(A39,A组淘汰赛!A:H,7,FALSE)</f>
        <v>0</v>
      </c>
      <c r="M39" s="43" t="s">
        <v>337</v>
      </c>
      <c r="N39" s="44">
        <v>2</v>
      </c>
      <c r="O39" s="44" t="str">
        <f>B组循环赛总分!F3</f>
        <v>B2 - Lu Dongmei</v>
      </c>
      <c r="P39" s="45">
        <f>B组循环赛总分!G3</f>
        <v>0</v>
      </c>
      <c r="Q39" s="45">
        <f>B组循环赛总分!H3</f>
        <v>0</v>
      </c>
    </row>
    <row r="40" spans="1:17" ht="15.75" customHeight="1" x14ac:dyDescent="0.25">
      <c r="A40" s="6" t="s">
        <v>194</v>
      </c>
      <c r="B40" s="37" t="s">
        <v>336</v>
      </c>
      <c r="C40" s="38">
        <f>VLOOKUP(A40,A组淘汰赛!A:H,8,FALSE)</f>
        <v>3</v>
      </c>
      <c r="D40" s="39" t="str">
        <f>VLOOKUP(A40,A组淘汰赛!A:H,2,FALSE)</f>
        <v>A9 - Yi Hongtao</v>
      </c>
      <c r="E40" s="39" t="str">
        <f>VLOOKUP(A40,A组淘汰赛!A:H,3,FALSE)</f>
        <v>A10 - Deng Shirley</v>
      </c>
      <c r="F40" s="39" t="str">
        <f>VLOOKUP(A40,A组淘汰赛!A:H,4,FALSE)</f>
        <v>A23 - 陈 冬娥</v>
      </c>
      <c r="G40" s="39" t="str">
        <f>VLOOKUP(A40,A组淘汰赛!A:H,5,FALSE)</f>
        <v>A24 - 贾云英</v>
      </c>
      <c r="H40" s="52">
        <f>VLOOKUP(A40,A组淘汰赛!A:H,6,FALSE)</f>
        <v>0</v>
      </c>
      <c r="I40" s="52">
        <f>VLOOKUP(A40,A组淘汰赛!A:H,7,FALSE)</f>
        <v>0</v>
      </c>
      <c r="M40" s="43" t="s">
        <v>337</v>
      </c>
      <c r="N40" s="44">
        <v>3</v>
      </c>
      <c r="O40" s="44" t="str">
        <f>B组循环赛总分!F4</f>
        <v>B3 - Li Jingyan</v>
      </c>
      <c r="P40" s="45">
        <f>B组循环赛总分!G4</f>
        <v>0</v>
      </c>
      <c r="Q40" s="45">
        <f>B组循环赛总分!H4</f>
        <v>0</v>
      </c>
    </row>
    <row r="41" spans="1:17" ht="15.75" customHeight="1" x14ac:dyDescent="0.25">
      <c r="A41" s="6" t="s">
        <v>201</v>
      </c>
      <c r="B41" s="37" t="s">
        <v>336</v>
      </c>
      <c r="C41" s="38">
        <f>VLOOKUP(A41,A组淘汰赛!A:H,8,FALSE)</f>
        <v>4</v>
      </c>
      <c r="D41" s="39" t="str">
        <f>VLOOKUP(A41,A组淘汰赛!A:H,2,FALSE)</f>
        <v>A11 - Xu Bujiang</v>
      </c>
      <c r="E41" s="39" t="str">
        <f>VLOOKUP(A41,A组淘汰赛!A:H,3,FALSE)</f>
        <v>A12 - Huo Yang</v>
      </c>
      <c r="F41" s="39" t="str">
        <f>VLOOKUP(A41,A组淘汰赛!A:H,4,FALSE)</f>
        <v>A21 - 哈 悦</v>
      </c>
      <c r="G41" s="39" t="str">
        <f>VLOOKUP(A41,A组淘汰赛!A:H,5,FALSE)</f>
        <v>A22 - 刘 勇</v>
      </c>
      <c r="H41" s="52">
        <f>VLOOKUP(A41,A组淘汰赛!A:H,6,FALSE)</f>
        <v>0</v>
      </c>
      <c r="I41" s="52">
        <f>VLOOKUP(A41,A组淘汰赛!A:H,7,FALSE)</f>
        <v>0</v>
      </c>
      <c r="M41" s="43" t="s">
        <v>337</v>
      </c>
      <c r="N41" s="44">
        <v>4</v>
      </c>
      <c r="O41" s="44" t="str">
        <f>B组循环赛总分!F5</f>
        <v>B4 - 张 立诚</v>
      </c>
      <c r="P41" s="45">
        <f>B组循环赛总分!G5</f>
        <v>0</v>
      </c>
      <c r="Q41" s="45">
        <f>B组循环赛总分!H5</f>
        <v>0</v>
      </c>
    </row>
    <row r="42" spans="1:17" ht="15.75" customHeight="1" x14ac:dyDescent="0.25">
      <c r="A42" s="6" t="s">
        <v>208</v>
      </c>
      <c r="B42" s="37" t="s">
        <v>336</v>
      </c>
      <c r="C42" s="38">
        <f>VLOOKUP(A42,A组淘汰赛!A:H,8,FALSE)</f>
        <v>5</v>
      </c>
      <c r="D42" s="39" t="str">
        <f>VLOOKUP(A42,A组淘汰赛!A:H,2,FALSE)</f>
        <v>A13 - 黄 Shelly</v>
      </c>
      <c r="E42" s="39" t="str">
        <f>VLOOKUP(A42,A组淘汰赛!A:H,3,FALSE)</f>
        <v>A14 - Ye Sabrina</v>
      </c>
      <c r="F42" s="39" t="str">
        <f>VLOOKUP(A42,A组淘汰赛!A:H,4,FALSE)</f>
        <v>A19 - 赵发枚</v>
      </c>
      <c r="G42" s="39" t="str">
        <f>VLOOKUP(A42,A组淘汰赛!A:H,5,FALSE)</f>
        <v>A20 - 王轶男</v>
      </c>
      <c r="H42" s="52">
        <f>VLOOKUP(A42,A组淘汰赛!A:H,6,FALSE)</f>
        <v>0</v>
      </c>
      <c r="I42" s="52">
        <f>VLOOKUP(A42,A组淘汰赛!A:H,7,FALSE)</f>
        <v>0</v>
      </c>
      <c r="M42" s="43" t="s">
        <v>337</v>
      </c>
      <c r="N42" s="44">
        <v>5</v>
      </c>
      <c r="O42" s="44" t="str">
        <f>B组循环赛总分!F6</f>
        <v>B5 - Yuan Stellven</v>
      </c>
      <c r="P42" s="45">
        <f>B组循环赛总分!G6</f>
        <v>0</v>
      </c>
      <c r="Q42" s="45">
        <f>B组循环赛总分!H6</f>
        <v>0</v>
      </c>
    </row>
    <row r="43" spans="1:17" ht="15.75" customHeight="1" x14ac:dyDescent="0.25">
      <c r="A43" s="6" t="s">
        <v>215</v>
      </c>
      <c r="B43" s="37" t="s">
        <v>336</v>
      </c>
      <c r="C43" s="38">
        <f>VLOOKUP(A43,A组淘汰赛!A:H,8,FALSE)</f>
        <v>6</v>
      </c>
      <c r="D43" s="39" t="str">
        <f>VLOOKUP(A43,A组淘汰赛!A:H,2,FALSE)</f>
        <v>A15 - 高 清</v>
      </c>
      <c r="E43" s="39" t="str">
        <f>VLOOKUP(A43,A组淘汰赛!A:H,3,FALSE)</f>
        <v>A16 - 肖 凌闻</v>
      </c>
      <c r="F43" s="39" t="str">
        <f>VLOOKUP(A43,A组淘汰赛!A:H,4,FALSE)</f>
        <v>A17 - 叶 冰</v>
      </c>
      <c r="G43" s="39" t="str">
        <f>VLOOKUP(A43,A组淘汰赛!A:H,5,FALSE)</f>
        <v>A18 - Li Larry</v>
      </c>
      <c r="H43" s="52">
        <f>VLOOKUP(A43,A组淘汰赛!A:H,6,FALSE)</f>
        <v>0</v>
      </c>
      <c r="I43" s="52">
        <f>VLOOKUP(A43,A组淘汰赛!A:H,7,FALSE)</f>
        <v>0</v>
      </c>
      <c r="M43" s="43" t="s">
        <v>337</v>
      </c>
      <c r="N43" s="44">
        <v>6</v>
      </c>
      <c r="O43" s="44" t="str">
        <f>B组循环赛总分!F7</f>
        <v>B6 - 吕 秀华</v>
      </c>
      <c r="P43" s="45">
        <f>B组循环赛总分!G7</f>
        <v>0</v>
      </c>
      <c r="Q43" s="45">
        <f>B组循环赛总分!H7</f>
        <v>0</v>
      </c>
    </row>
    <row r="44" spans="1:17" ht="15.75" customHeight="1" x14ac:dyDescent="0.25">
      <c r="A44" s="6" t="s">
        <v>222</v>
      </c>
      <c r="B44" s="37" t="s">
        <v>338</v>
      </c>
      <c r="C44" s="38">
        <f>VLOOKUP(A44,A组淘汰赛!A:H,8,FALSE)</f>
        <v>1</v>
      </c>
      <c r="D44" s="39" t="str">
        <f>VLOOKUP(A44,A组淘汰赛!A:H,2,FALSE)</f>
        <v>A1 - 王 雅峰</v>
      </c>
      <c r="E44" s="39" t="str">
        <f>VLOOKUP(A44,A组淘汰赛!A:H,3,FALSE)</f>
        <v>A2 - 王 丽</v>
      </c>
      <c r="F44" s="39" t="str">
        <f>VLOOKUP(A44,A组淘汰赛!A:H,4,FALSE)</f>
        <v/>
      </c>
      <c r="G44" s="39" t="str">
        <f>VLOOKUP(A44,A组淘汰赛!A:H,5,FALSE)</f>
        <v/>
      </c>
      <c r="H44" s="52">
        <f>VLOOKUP(A44,A组淘汰赛!A:H,6,FALSE)</f>
        <v>0</v>
      </c>
      <c r="I44" s="52">
        <f>VLOOKUP(A44,A组淘汰赛!A:H,7,FALSE)</f>
        <v>0</v>
      </c>
      <c r="M44" s="43" t="s">
        <v>337</v>
      </c>
      <c r="N44" s="44">
        <v>7</v>
      </c>
      <c r="O44" s="44" t="str">
        <f>B组循环赛总分!F8</f>
        <v>B7 - jiang 红柳</v>
      </c>
      <c r="P44" s="45">
        <f>B组循环赛总分!G8</f>
        <v>0</v>
      </c>
      <c r="Q44" s="45">
        <f>B组循环赛总分!H8</f>
        <v>0</v>
      </c>
    </row>
    <row r="45" spans="1:17" ht="15.75" customHeight="1" x14ac:dyDescent="0.25">
      <c r="A45" s="6" t="s">
        <v>228</v>
      </c>
      <c r="B45" s="37" t="s">
        <v>338</v>
      </c>
      <c r="C45" s="38">
        <f>VLOOKUP(A45,A组淘汰赛!A:H,8,FALSE)</f>
        <v>2</v>
      </c>
      <c r="D45" s="39" t="str">
        <f>VLOOKUP(A45,A组淘汰赛!A:H,2,FALSE)</f>
        <v>A3 - 司 丽荣</v>
      </c>
      <c r="E45" s="39" t="str">
        <f>VLOOKUP(A45,A组淘汰赛!A:H,3,FALSE)</f>
        <v>A4 - 邢 世杰</v>
      </c>
      <c r="F45" s="39" t="str">
        <f>VLOOKUP(A45,A组淘汰赛!A:H,4,FALSE)</f>
        <v/>
      </c>
      <c r="G45" s="39" t="str">
        <f>VLOOKUP(A45,A组淘汰赛!A:H,5,FALSE)</f>
        <v/>
      </c>
      <c r="H45" s="52">
        <f>VLOOKUP(A45,A组淘汰赛!A:H,6,FALSE)</f>
        <v>0</v>
      </c>
      <c r="I45" s="52">
        <f>VLOOKUP(A45,A组淘汰赛!A:H,7,FALSE)</f>
        <v>0</v>
      </c>
      <c r="M45" s="43" t="s">
        <v>337</v>
      </c>
      <c r="N45" s="44">
        <v>8</v>
      </c>
      <c r="O45" s="44" t="str">
        <f>B组循环赛总分!F9</f>
        <v>B8 - Liang Jessie</v>
      </c>
      <c r="P45" s="45">
        <f>B组循环赛总分!G9</f>
        <v>0</v>
      </c>
      <c r="Q45" s="45">
        <f>B组循环赛总分!H9</f>
        <v>0</v>
      </c>
    </row>
    <row r="46" spans="1:17" ht="15.75" customHeight="1" x14ac:dyDescent="0.25">
      <c r="A46" s="6" t="s">
        <v>234</v>
      </c>
      <c r="B46" s="37" t="s">
        <v>338</v>
      </c>
      <c r="C46" s="38">
        <f>VLOOKUP(A46,A组淘汰赛!A:H,8,FALSE)</f>
        <v>3</v>
      </c>
      <c r="D46" s="39" t="str">
        <f>VLOOKUP(A46,A组淘汰赛!A:H,2,FALSE)</f>
        <v/>
      </c>
      <c r="E46" s="39" t="str">
        <f>VLOOKUP(A46,A组淘汰赛!A:H,3,FALSE)</f>
        <v/>
      </c>
      <c r="F46" s="39" t="str">
        <f>VLOOKUP(A46,A组淘汰赛!A:H,4,FALSE)</f>
        <v/>
      </c>
      <c r="G46" s="39" t="str">
        <f>VLOOKUP(A46,A组淘汰赛!A:H,5,FALSE)</f>
        <v/>
      </c>
      <c r="H46" s="52">
        <f>VLOOKUP(A46,A组淘汰赛!A:H,6,FALSE)</f>
        <v>0</v>
      </c>
      <c r="I46" s="52">
        <f>VLOOKUP(A46,A组淘汰赛!A:H,7,FALSE)</f>
        <v>0</v>
      </c>
      <c r="M46" s="43" t="s">
        <v>337</v>
      </c>
      <c r="N46" s="44">
        <v>9</v>
      </c>
      <c r="O46" s="44" t="str">
        <f>B组循环赛总分!F10</f>
        <v>B9 - Wang Cliff</v>
      </c>
      <c r="P46" s="45">
        <f>B组循环赛总分!G10</f>
        <v>0</v>
      </c>
      <c r="Q46" s="45">
        <f>B组循环赛总分!H10</f>
        <v>0</v>
      </c>
    </row>
    <row r="47" spans="1:17" ht="15.75" customHeight="1" x14ac:dyDescent="0.25">
      <c r="A47" s="6" t="s">
        <v>241</v>
      </c>
      <c r="B47" s="37" t="s">
        <v>338</v>
      </c>
      <c r="C47" s="38">
        <f>VLOOKUP(A47,A组淘汰赛!A:H,8,FALSE)</f>
        <v>4</v>
      </c>
      <c r="D47" s="39" t="str">
        <f>VLOOKUP(A47,A组淘汰赛!A:H,2,FALSE)</f>
        <v/>
      </c>
      <c r="E47" s="39" t="str">
        <f>VLOOKUP(A47,A组淘汰赛!A:H,3,FALSE)</f>
        <v/>
      </c>
      <c r="F47" s="39" t="str">
        <f>VLOOKUP(A47,A组淘汰赛!A:H,4,FALSE)</f>
        <v/>
      </c>
      <c r="G47" s="39" t="str">
        <f>VLOOKUP(A47,A组淘汰赛!A:H,5,FALSE)</f>
        <v/>
      </c>
      <c r="H47" s="52">
        <f>VLOOKUP(A47,A组淘汰赛!A:H,6,FALSE)</f>
        <v>0</v>
      </c>
      <c r="I47" s="52">
        <f>VLOOKUP(A47,A组淘汰赛!A:H,7,FALSE)</f>
        <v>0</v>
      </c>
      <c r="M47" s="43" t="s">
        <v>337</v>
      </c>
      <c r="N47" s="44">
        <v>10</v>
      </c>
      <c r="O47" s="44" t="str">
        <f>B组循环赛总分!F11</f>
        <v>B10 - Li Lisa</v>
      </c>
      <c r="P47" s="45">
        <f>B组循环赛总分!G11</f>
        <v>0</v>
      </c>
      <c r="Q47" s="45">
        <f>B组循环赛总分!H11</f>
        <v>0</v>
      </c>
    </row>
    <row r="48" spans="1:17" ht="15.75" customHeight="1" x14ac:dyDescent="0.25">
      <c r="A48" s="6" t="s">
        <v>249</v>
      </c>
      <c r="B48" s="37" t="s">
        <v>339</v>
      </c>
      <c r="C48" s="38">
        <f>VLOOKUP(A48,A组淘汰赛!A:H,8,FALSE)</f>
        <v>3</v>
      </c>
      <c r="D48" s="39" t="str">
        <f>VLOOKUP(A48,A组淘汰赛!A:H,2,FALSE)</f>
        <v/>
      </c>
      <c r="E48" s="39" t="str">
        <f>VLOOKUP(A48,A组淘汰赛!A:H,3,FALSE)</f>
        <v/>
      </c>
      <c r="F48" s="39" t="str">
        <f>VLOOKUP(A48,A组淘汰赛!A:H,4,FALSE)</f>
        <v/>
      </c>
      <c r="G48" s="39" t="str">
        <f>VLOOKUP(A48,A组淘汰赛!A:H,5,FALSE)</f>
        <v/>
      </c>
      <c r="H48" s="52">
        <f>VLOOKUP(A48,A组淘汰赛!A:H,6,FALSE)</f>
        <v>0</v>
      </c>
      <c r="I48" s="52">
        <f>VLOOKUP(A48,A组淘汰赛!A:H,7,FALSE)</f>
        <v>0</v>
      </c>
      <c r="M48" s="43" t="s">
        <v>337</v>
      </c>
      <c r="N48" s="44">
        <v>11</v>
      </c>
      <c r="O48" s="44" t="str">
        <f>B组循环赛总分!F12</f>
        <v>B11 - Lin Linda</v>
      </c>
      <c r="P48" s="45">
        <f>B组循环赛总分!G12</f>
        <v>0</v>
      </c>
      <c r="Q48" s="45">
        <f>B组循环赛总分!H12</f>
        <v>0</v>
      </c>
    </row>
    <row r="49" spans="1:17" ht="15.75" customHeight="1" x14ac:dyDescent="0.25">
      <c r="A49" s="6" t="s">
        <v>256</v>
      </c>
      <c r="B49" s="37" t="s">
        <v>339</v>
      </c>
      <c r="C49" s="38">
        <f>VLOOKUP(A49,A组淘汰赛!A:H,8,FALSE)</f>
        <v>4</v>
      </c>
      <c r="D49" s="39" t="str">
        <f>VLOOKUP(A49,A组淘汰赛!A:H,2,FALSE)</f>
        <v/>
      </c>
      <c r="E49" s="39" t="str">
        <f>VLOOKUP(A49,A组淘汰赛!A:H,3,FALSE)</f>
        <v/>
      </c>
      <c r="F49" s="39" t="str">
        <f>VLOOKUP(A49,A组淘汰赛!A:H,4,FALSE)</f>
        <v/>
      </c>
      <c r="G49" s="39" t="str">
        <f>VLOOKUP(A49,A组淘汰赛!A:H,5,FALSE)</f>
        <v/>
      </c>
      <c r="H49" s="52">
        <f>VLOOKUP(A49,A组淘汰赛!A:H,6,FALSE)</f>
        <v>0</v>
      </c>
      <c r="I49" s="52">
        <f>VLOOKUP(A49,A组淘汰赛!A:H,7,FALSE)</f>
        <v>0</v>
      </c>
      <c r="M49" s="43" t="s">
        <v>337</v>
      </c>
      <c r="N49" s="44">
        <v>12</v>
      </c>
      <c r="O49" s="44" t="str">
        <f>B组循环赛总分!F13</f>
        <v>B12 - Gou James</v>
      </c>
      <c r="P49" s="45">
        <f>B组循环赛总分!G13</f>
        <v>0</v>
      </c>
      <c r="Q49" s="45">
        <f>B组循环赛总分!H13</f>
        <v>0</v>
      </c>
    </row>
    <row r="50" spans="1:17" ht="15.75" customHeight="1" x14ac:dyDescent="0.25">
      <c r="A50" s="6" t="s">
        <v>262</v>
      </c>
      <c r="B50" s="37" t="s">
        <v>340</v>
      </c>
      <c r="C50" s="38">
        <f>VLOOKUP(A50,A组淘汰赛!A:H,8,FALSE)</f>
        <v>0</v>
      </c>
      <c r="D50" s="39" t="str">
        <f>VLOOKUP(A50,A组淘汰赛!A:H,2,FALSE)</f>
        <v/>
      </c>
      <c r="E50" s="39" t="str">
        <f>VLOOKUP(A50,A组淘汰赛!A:H,3,FALSE)</f>
        <v/>
      </c>
      <c r="F50" s="39" t="str">
        <f>VLOOKUP(A50,A组淘汰赛!A:H,4,FALSE)</f>
        <v/>
      </c>
      <c r="G50" s="39" t="str">
        <f>VLOOKUP(A50,A组淘汰赛!A:H,5,FALSE)</f>
        <v/>
      </c>
      <c r="H50" s="52">
        <f>VLOOKUP(A50,A组淘汰赛!A:H,6,FALSE)</f>
        <v>0</v>
      </c>
      <c r="I50" s="52">
        <f>VLOOKUP(A50,A组淘汰赛!A:H,7,FALSE)</f>
        <v>0</v>
      </c>
      <c r="M50" s="43" t="s">
        <v>337</v>
      </c>
      <c r="N50" s="44">
        <v>13</v>
      </c>
      <c r="O50" s="44" t="str">
        <f>B组循环赛总分!F14</f>
        <v>B13 - 陈 海容</v>
      </c>
      <c r="P50" s="45">
        <f>B组循环赛总分!G14</f>
        <v>0</v>
      </c>
      <c r="Q50" s="45">
        <f>B组循环赛总分!H14</f>
        <v>0</v>
      </c>
    </row>
    <row r="51" spans="1:17" ht="15.75" customHeight="1" x14ac:dyDescent="0.25">
      <c r="A51" s="6" t="s">
        <v>270</v>
      </c>
      <c r="B51" s="37" t="s">
        <v>341</v>
      </c>
      <c r="C51" s="38">
        <f>VLOOKUP(A51,A组淘汰赛!A:H,8,FALSE)</f>
        <v>0</v>
      </c>
      <c r="D51" s="39" t="str">
        <f>VLOOKUP(A51,A组淘汰赛!A:H,2,FALSE)</f>
        <v/>
      </c>
      <c r="E51" s="39" t="str">
        <f>VLOOKUP(A51,A组淘汰赛!A:H,3,FALSE)</f>
        <v/>
      </c>
      <c r="F51" s="39" t="str">
        <f>VLOOKUP(A51,A组淘汰赛!A:H,4,FALSE)</f>
        <v/>
      </c>
      <c r="G51" s="39" t="str">
        <f>VLOOKUP(A51,A组淘汰赛!A:H,5,FALSE)</f>
        <v/>
      </c>
      <c r="H51" s="52">
        <f>VLOOKUP(A51,A组淘汰赛!A:H,6,FALSE)</f>
        <v>0</v>
      </c>
      <c r="I51" s="52">
        <f>VLOOKUP(A51,A组淘汰赛!A:H,7,FALSE)</f>
        <v>0</v>
      </c>
      <c r="M51" s="43" t="s">
        <v>337</v>
      </c>
      <c r="N51" s="44">
        <v>14</v>
      </c>
      <c r="O51" s="44" t="str">
        <f>B组循环赛总分!F15</f>
        <v>B14 - 李 青</v>
      </c>
      <c r="P51" s="45">
        <f>B组循环赛总分!G15</f>
        <v>0</v>
      </c>
      <c r="Q51" s="45">
        <f>B组循环赛总分!H15</f>
        <v>0</v>
      </c>
    </row>
    <row r="52" spans="1:17" ht="15.75" customHeight="1" x14ac:dyDescent="0.25">
      <c r="A52" s="6" t="s">
        <v>271</v>
      </c>
      <c r="B52" s="37" t="s">
        <v>59</v>
      </c>
      <c r="C52" s="38">
        <f>VLOOKUP(A52,B组循环赛4轮!A:H,6,FALSE)</f>
        <v>1</v>
      </c>
      <c r="D52" s="39" t="str">
        <f>VLOOKUP(A52,B组循环赛4轮!A:H,2,FALSE)</f>
        <v>B1 - 张 卫明</v>
      </c>
      <c r="E52" s="39" t="str">
        <f>VLOOKUP(A52,B组循环赛4轮!A:H,3,FALSE)</f>
        <v>B18 - 彭 飞</v>
      </c>
      <c r="F52" s="39" t="str">
        <f>VLOOKUP(A52,B组循环赛4轮!A:H,4,FALSE)</f>
        <v>B2 - Lu Dongmei</v>
      </c>
      <c r="G52" s="39" t="str">
        <f>VLOOKUP(A52,B组循环赛4轮!A:H,5,FALSE)</f>
        <v>B17 - 张 圣云</v>
      </c>
      <c r="H52" s="52">
        <f>VLOOKUP(A52,B组循环赛4轮!A:H,7,FALSE)</f>
        <v>0</v>
      </c>
      <c r="I52" s="52">
        <f>VLOOKUP(A52,B组循环赛4轮!A:H,8,FALSE)</f>
        <v>0</v>
      </c>
      <c r="M52" s="43" t="s">
        <v>337</v>
      </c>
      <c r="N52" s="44">
        <v>15</v>
      </c>
      <c r="O52" s="44" t="str">
        <f>B组循环赛总分!F16</f>
        <v>B15 - 罗 野</v>
      </c>
      <c r="P52" s="45">
        <f>B组循环赛总分!G16</f>
        <v>0</v>
      </c>
      <c r="Q52" s="45">
        <f>B组循环赛总分!H16</f>
        <v>0</v>
      </c>
    </row>
    <row r="53" spans="1:17" ht="15.75" customHeight="1" x14ac:dyDescent="0.25">
      <c r="A53" s="6" t="s">
        <v>272</v>
      </c>
      <c r="B53" s="37" t="s">
        <v>59</v>
      </c>
      <c r="C53" s="38">
        <f>VLOOKUP(A53,B组循环赛4轮!A:H,6,FALSE)</f>
        <v>2</v>
      </c>
      <c r="D53" s="39" t="str">
        <f>VLOOKUP(A53,B组循环赛4轮!A:H,2,FALSE)</f>
        <v>B3 - Li Jingyan</v>
      </c>
      <c r="E53" s="39" t="str">
        <f>VLOOKUP(A53,B组循环赛4轮!A:H,3,FALSE)</f>
        <v>B5 - Yuan Stellven</v>
      </c>
      <c r="F53" s="39" t="str">
        <f>VLOOKUP(A53,B组循环赛4轮!A:H,4,FALSE)</f>
        <v>B4 - 张 立诚</v>
      </c>
      <c r="G53" s="39" t="str">
        <f>VLOOKUP(A53,B组循环赛4轮!A:H,5,FALSE)</f>
        <v>B28 - Yuan Jenny</v>
      </c>
      <c r="H53" s="52">
        <f>VLOOKUP(A53,B组循环赛4轮!A:H,7,FALSE)</f>
        <v>0</v>
      </c>
      <c r="I53" s="52">
        <f>VLOOKUP(A53,B组循环赛4轮!A:H,8,FALSE)</f>
        <v>0</v>
      </c>
      <c r="M53" s="43" t="s">
        <v>337</v>
      </c>
      <c r="N53" s="44">
        <v>16</v>
      </c>
      <c r="O53" s="44" t="str">
        <f>B组循环赛总分!F17</f>
        <v>B16 - Guo Sherry</v>
      </c>
      <c r="P53" s="45">
        <f>B组循环赛总分!G17</f>
        <v>0</v>
      </c>
      <c r="Q53" s="45">
        <f>B组循环赛总分!H17</f>
        <v>0</v>
      </c>
    </row>
    <row r="54" spans="1:17" ht="15" x14ac:dyDescent="0.25">
      <c r="A54" s="6" t="s">
        <v>273</v>
      </c>
      <c r="B54" s="37" t="s">
        <v>59</v>
      </c>
      <c r="C54" s="38">
        <f>VLOOKUP(A54,B组循环赛4轮!A:H,6,FALSE)</f>
        <v>3</v>
      </c>
      <c r="D54" s="39" t="str">
        <f>VLOOKUP(A54,B组循环赛4轮!A:H,2,FALSE)</f>
        <v>B6 - 吕 秀华</v>
      </c>
      <c r="E54" s="39" t="str">
        <f>VLOOKUP(A54,B组循环赛4轮!A:H,3,FALSE)</f>
        <v>B33 - 王 桐</v>
      </c>
      <c r="F54" s="39" t="str">
        <f>VLOOKUP(A54,B组循环赛4轮!A:H,4,FALSE)</f>
        <v>B7 - jiang 红柳</v>
      </c>
      <c r="G54" s="39" t="str">
        <f>VLOOKUP(A54,B组循环赛4轮!A:H,5,FALSE)</f>
        <v>B21 - Zhao Helen</v>
      </c>
      <c r="H54" s="52">
        <f>VLOOKUP(A54,B组循环赛4轮!A:H,7,FALSE)</f>
        <v>0</v>
      </c>
      <c r="I54" s="52">
        <f>VLOOKUP(A54,B组循环赛4轮!A:H,8,FALSE)</f>
        <v>0</v>
      </c>
      <c r="M54" s="43" t="s">
        <v>337</v>
      </c>
      <c r="N54" s="44">
        <v>17</v>
      </c>
      <c r="O54" s="44" t="str">
        <f>B组循环赛总分!F18</f>
        <v>B17 - 张 圣云</v>
      </c>
      <c r="P54" s="45">
        <f>B组循环赛总分!G18</f>
        <v>0</v>
      </c>
      <c r="Q54" s="45">
        <f>B组循环赛总分!H18</f>
        <v>0</v>
      </c>
    </row>
    <row r="55" spans="1:17" ht="15" x14ac:dyDescent="0.25">
      <c r="A55" s="6" t="s">
        <v>274</v>
      </c>
      <c r="B55" s="37" t="s">
        <v>59</v>
      </c>
      <c r="C55" s="38">
        <f>VLOOKUP(A55,B组循环赛4轮!A:H,6,FALSE)</f>
        <v>4</v>
      </c>
      <c r="D55" s="39" t="str">
        <f>VLOOKUP(A55,B组循环赛4轮!A:H,2,FALSE)</f>
        <v>B8 - Liang Jessie</v>
      </c>
      <c r="E55" s="39" t="str">
        <f>VLOOKUP(A55,B组循环赛4轮!A:H,3,FALSE)</f>
        <v>B22 - Li Sheng</v>
      </c>
      <c r="F55" s="39" t="str">
        <f>VLOOKUP(A55,B组循环赛4轮!A:H,4,FALSE)</f>
        <v>B9 - Wang Cliff</v>
      </c>
      <c r="G55" s="39" t="str">
        <f>VLOOKUP(A55,B组循环赛4轮!A:H,5,FALSE)</f>
        <v>B16 - Guo Sherry</v>
      </c>
      <c r="H55" s="52">
        <f>VLOOKUP(A55,B组循环赛4轮!A:H,7,FALSE)</f>
        <v>0</v>
      </c>
      <c r="I55" s="52">
        <f>VLOOKUP(A55,B组循环赛4轮!A:H,8,FALSE)</f>
        <v>0</v>
      </c>
      <c r="M55" s="43" t="s">
        <v>337</v>
      </c>
      <c r="N55" s="44">
        <v>18</v>
      </c>
      <c r="O55" s="44" t="str">
        <f>B组循环赛总分!F19</f>
        <v>B18 - 彭 飞</v>
      </c>
      <c r="P55" s="45">
        <f>B组循环赛总分!G19</f>
        <v>0</v>
      </c>
      <c r="Q55" s="45">
        <f>B组循环赛总分!H19</f>
        <v>0</v>
      </c>
    </row>
    <row r="56" spans="1:17" ht="15" x14ac:dyDescent="0.25">
      <c r="A56" s="6" t="s">
        <v>275</v>
      </c>
      <c r="B56" s="37" t="s">
        <v>59</v>
      </c>
      <c r="C56" s="38">
        <f>VLOOKUP(A56,B组循环赛4轮!A:H,6,FALSE)</f>
        <v>5</v>
      </c>
      <c r="D56" s="39" t="str">
        <f>VLOOKUP(A56,B组循环赛4轮!A:H,2,FALSE)</f>
        <v>B10 - Li Lisa</v>
      </c>
      <c r="E56" s="39" t="str">
        <f>VLOOKUP(A56,B组循环赛4轮!A:H,3,FALSE)</f>
        <v>B25 - Zhan Lixin</v>
      </c>
      <c r="F56" s="39" t="str">
        <f>VLOOKUP(A56,B组循环赛4轮!A:H,4,FALSE)</f>
        <v>B11 - Lin Linda</v>
      </c>
      <c r="G56" s="39" t="str">
        <f>VLOOKUP(A56,B组循环赛4轮!A:H,5,FALSE)</f>
        <v>B12 - Gou James</v>
      </c>
      <c r="H56" s="52">
        <f>VLOOKUP(A56,B组循环赛4轮!A:H,7,FALSE)</f>
        <v>0</v>
      </c>
      <c r="I56" s="52">
        <f>VLOOKUP(A56,B组循环赛4轮!A:H,8,FALSE)</f>
        <v>0</v>
      </c>
      <c r="M56" s="43" t="s">
        <v>337</v>
      </c>
      <c r="N56" s="44">
        <v>19</v>
      </c>
      <c r="O56" s="44" t="str">
        <f>B组循环赛总分!F20</f>
        <v>B19 - Tian Wanting</v>
      </c>
      <c r="P56" s="45">
        <f>B组循环赛总分!G20</f>
        <v>0</v>
      </c>
      <c r="Q56" s="45">
        <f>B组循环赛总分!H20</f>
        <v>0</v>
      </c>
    </row>
    <row r="57" spans="1:17" ht="15" x14ac:dyDescent="0.25">
      <c r="A57" s="6" t="s">
        <v>276</v>
      </c>
      <c r="B57" s="37" t="s">
        <v>59</v>
      </c>
      <c r="C57" s="38">
        <f>VLOOKUP(A57,B组循环赛4轮!A:H,6,FALSE)</f>
        <v>6</v>
      </c>
      <c r="D57" s="39" t="str">
        <f>VLOOKUP(A57,B组循环赛4轮!A:H,2,FALSE)</f>
        <v>B13 - 陈 海容</v>
      </c>
      <c r="E57" s="39" t="str">
        <f>VLOOKUP(A57,B组循环赛4轮!A:H,3,FALSE)</f>
        <v>B15 - 罗 野</v>
      </c>
      <c r="F57" s="39" t="str">
        <f>VLOOKUP(A57,B组循环赛4轮!A:H,4,FALSE)</f>
        <v>B14 - 李 青</v>
      </c>
      <c r="G57" s="39" t="str">
        <f>VLOOKUP(A57,B组循环赛4轮!A:H,5,FALSE)</f>
        <v>B32 - Wang Mengyi</v>
      </c>
      <c r="H57" s="52">
        <f>VLOOKUP(A57,B组循环赛4轮!A:H,7,FALSE)</f>
        <v>0</v>
      </c>
      <c r="I57" s="52">
        <f>VLOOKUP(A57,B组循环赛4轮!A:H,8,FALSE)</f>
        <v>0</v>
      </c>
      <c r="M57" s="43" t="s">
        <v>337</v>
      </c>
      <c r="N57" s="44">
        <v>20</v>
      </c>
      <c r="O57" s="44" t="str">
        <f>B组循环赛总分!F21</f>
        <v>B20 - Feng Yaru</v>
      </c>
      <c r="P57" s="45">
        <f>B组循环赛总分!G21</f>
        <v>0</v>
      </c>
      <c r="Q57" s="45">
        <f>B组循环赛总分!H21</f>
        <v>0</v>
      </c>
    </row>
    <row r="58" spans="1:17" ht="15" x14ac:dyDescent="0.25">
      <c r="A58" s="6" t="s">
        <v>277</v>
      </c>
      <c r="B58" s="37" t="s">
        <v>59</v>
      </c>
      <c r="C58" s="38">
        <f>VLOOKUP(A58,B组循环赛4轮!A:H,6,FALSE)</f>
        <v>4</v>
      </c>
      <c r="D58" s="39" t="str">
        <f>VLOOKUP(A58,B组循环赛4轮!A:H,2,FALSE)</f>
        <v>B19 - Tian Wanting</v>
      </c>
      <c r="E58" s="39" t="str">
        <f>VLOOKUP(A58,B组循环赛4轮!A:H,3,FALSE)</f>
        <v>B34 - 殷 亚兰</v>
      </c>
      <c r="F58" s="39" t="str">
        <f>VLOOKUP(A58,B组循环赛4轮!A:H,4,FALSE)</f>
        <v>B20 - Feng Yaru</v>
      </c>
      <c r="G58" s="39" t="str">
        <f>VLOOKUP(A58,B组循环赛4轮!A:H,5,FALSE)</f>
        <v>B36 - Song Qingxia</v>
      </c>
      <c r="H58" s="52">
        <f>VLOOKUP(A58,B组循环赛4轮!A:H,7,FALSE)</f>
        <v>0</v>
      </c>
      <c r="I58" s="52">
        <f>VLOOKUP(A58,B组循环赛4轮!A:H,8,FALSE)</f>
        <v>0</v>
      </c>
      <c r="M58" s="43" t="s">
        <v>337</v>
      </c>
      <c r="N58" s="44">
        <v>21</v>
      </c>
      <c r="O58" s="44" t="str">
        <f>B组循环赛总分!F22</f>
        <v>B21 - Zhao Helen</v>
      </c>
      <c r="P58" s="45">
        <f>B组循环赛总分!G22</f>
        <v>0</v>
      </c>
      <c r="Q58" s="45">
        <f>B组循环赛总分!H22</f>
        <v>0</v>
      </c>
    </row>
    <row r="59" spans="1:17" ht="15" x14ac:dyDescent="0.25">
      <c r="A59" s="6" t="s">
        <v>278</v>
      </c>
      <c r="B59" s="37" t="s">
        <v>59</v>
      </c>
      <c r="C59" s="38">
        <f>VLOOKUP(A59,B组循环赛4轮!A:H,6,FALSE)</f>
        <v>5</v>
      </c>
      <c r="D59" s="39" t="str">
        <f>VLOOKUP(A59,B组循环赛4轮!A:H,2,FALSE)</f>
        <v>B23 - 王 旭</v>
      </c>
      <c r="E59" s="39" t="str">
        <f>VLOOKUP(A59,B组循环赛4轮!A:H,3,FALSE)</f>
        <v>B29 - 焦 冬</v>
      </c>
      <c r="F59" s="39" t="str">
        <f>VLOOKUP(A59,B组循环赛4轮!A:H,4,FALSE)</f>
        <v>B31 - 金 锦</v>
      </c>
      <c r="G59" s="39" t="str">
        <f>VLOOKUP(A59,B组循环赛4轮!A:H,5,FALSE)</f>
        <v>B35 - Rong Robert</v>
      </c>
      <c r="H59" s="52">
        <f>VLOOKUP(A59,B组循环赛4轮!A:H,7,FALSE)</f>
        <v>0</v>
      </c>
      <c r="I59" s="52">
        <f>VLOOKUP(A59,B组循环赛4轮!A:H,8,FALSE)</f>
        <v>0</v>
      </c>
      <c r="M59" s="43" t="s">
        <v>337</v>
      </c>
      <c r="N59" s="44">
        <v>22</v>
      </c>
      <c r="O59" s="44" t="str">
        <f>B组循环赛总分!F23</f>
        <v>B22 - Li Sheng</v>
      </c>
      <c r="P59" s="45">
        <f>B组循环赛总分!G23</f>
        <v>0</v>
      </c>
      <c r="Q59" s="45">
        <f>B组循环赛总分!H23</f>
        <v>0</v>
      </c>
    </row>
    <row r="60" spans="1:17" ht="15" x14ac:dyDescent="0.25">
      <c r="A60" s="6" t="s">
        <v>279</v>
      </c>
      <c r="B60" s="37" t="s">
        <v>59</v>
      </c>
      <c r="C60" s="38">
        <f>VLOOKUP(A60,B组循环赛4轮!A:H,6,FALSE)</f>
        <v>6</v>
      </c>
      <c r="D60" s="39" t="str">
        <f>VLOOKUP(A60,B组循环赛4轮!A:H,2,FALSE)</f>
        <v>B24 - Xia Guibai</v>
      </c>
      <c r="E60" s="39" t="str">
        <f>VLOOKUP(A60,B组循环赛4轮!A:H,3,FALSE)</f>
        <v>B26 - Mike Nie</v>
      </c>
      <c r="F60" s="39" t="str">
        <f>VLOOKUP(A60,B组循环赛4轮!A:H,4,FALSE)</f>
        <v>B27 - 郭 庆</v>
      </c>
      <c r="G60" s="39" t="str">
        <f>VLOOKUP(A60,B组循环赛4轮!A:H,5,FALSE)</f>
        <v>B30 - 董 Grace</v>
      </c>
      <c r="H60" s="52">
        <f>VLOOKUP(A60,B组循环赛4轮!A:H,7,FALSE)</f>
        <v>0</v>
      </c>
      <c r="I60" s="52">
        <f>VLOOKUP(A60,B组循环赛4轮!A:H,8,FALSE)</f>
        <v>0</v>
      </c>
      <c r="M60" s="43" t="s">
        <v>337</v>
      </c>
      <c r="N60" s="44">
        <v>23</v>
      </c>
      <c r="O60" s="44" t="str">
        <f>B组循环赛总分!F24</f>
        <v>B23 - 王 旭</v>
      </c>
      <c r="P60" s="45">
        <f>B组循环赛总分!G24</f>
        <v>0</v>
      </c>
      <c r="Q60" s="45">
        <f>B组循环赛总分!H24</f>
        <v>0</v>
      </c>
    </row>
    <row r="61" spans="1:17" ht="15" x14ac:dyDescent="0.25">
      <c r="A61" s="6" t="s">
        <v>280</v>
      </c>
      <c r="B61" s="46" t="s">
        <v>60</v>
      </c>
      <c r="C61" s="38">
        <f>VLOOKUP(A61,B组循环赛4轮!A:H,6,FALSE)</f>
        <v>1</v>
      </c>
      <c r="D61" s="39" t="str">
        <f>VLOOKUP(A61,B组循环赛4轮!A:H,2,FALSE)</f>
        <v>B7 - jiang 红柳</v>
      </c>
      <c r="E61" s="39" t="str">
        <f>VLOOKUP(A61,B组循环赛4轮!A:H,3,FALSE)</f>
        <v>B28 - Yuan Jenny</v>
      </c>
      <c r="F61" s="39" t="str">
        <f>VLOOKUP(A61,B组循环赛4轮!A:H,4,FALSE)</f>
        <v>B6 - 吕 秀华</v>
      </c>
      <c r="G61" s="39" t="str">
        <f>VLOOKUP(A61,B组循环赛4轮!A:H,5,FALSE)</f>
        <v>B34 - 殷 亚兰</v>
      </c>
      <c r="H61" s="52">
        <f>VLOOKUP(A61,B组循环赛4轮!A:H,7,FALSE)</f>
        <v>0</v>
      </c>
      <c r="I61" s="52">
        <f>VLOOKUP(A61,B组循环赛4轮!A:H,8,FALSE)</f>
        <v>0</v>
      </c>
      <c r="M61" s="43" t="s">
        <v>337</v>
      </c>
      <c r="N61" s="44">
        <v>24</v>
      </c>
      <c r="O61" s="44" t="str">
        <f>B组循环赛总分!F25</f>
        <v>B24 - Xia Guibai</v>
      </c>
      <c r="P61" s="45">
        <f>B组循环赛总分!G25</f>
        <v>0</v>
      </c>
      <c r="Q61" s="45">
        <f>B组循环赛总分!H25</f>
        <v>0</v>
      </c>
    </row>
    <row r="62" spans="1:17" ht="15" x14ac:dyDescent="0.25">
      <c r="A62" s="6" t="s">
        <v>281</v>
      </c>
      <c r="B62" s="37" t="s">
        <v>60</v>
      </c>
      <c r="C62" s="38">
        <f>VLOOKUP(A62,B组循环赛4轮!A:H,6,FALSE)</f>
        <v>2</v>
      </c>
      <c r="D62" s="39" t="str">
        <f>VLOOKUP(A62,B组循环赛4轮!A:H,2,FALSE)</f>
        <v>B15 - 罗 野</v>
      </c>
      <c r="E62" s="39" t="str">
        <f>VLOOKUP(A62,B组循环赛4轮!A:H,3,FALSE)</f>
        <v>B21 - Zhao Helen</v>
      </c>
      <c r="F62" s="39" t="str">
        <f>VLOOKUP(A62,B组循环赛4轮!A:H,4,FALSE)</f>
        <v>B5 - Yuan Stellven</v>
      </c>
      <c r="G62" s="39" t="str">
        <f>VLOOKUP(A62,B组循环赛4轮!A:H,5,FALSE)</f>
        <v>B31 - 金 锦</v>
      </c>
      <c r="H62" s="52">
        <f>VLOOKUP(A62,B组循环赛4轮!A:H,7,FALSE)</f>
        <v>0</v>
      </c>
      <c r="I62" s="52">
        <f>VLOOKUP(A62,B组循环赛4轮!A:H,8,FALSE)</f>
        <v>0</v>
      </c>
      <c r="M62" s="43" t="s">
        <v>337</v>
      </c>
      <c r="N62" s="44">
        <v>25</v>
      </c>
      <c r="O62" s="44" t="str">
        <f>B组循环赛总分!F26</f>
        <v>B25 - Zhan Lixin</v>
      </c>
      <c r="P62" s="45">
        <f>B组循环赛总分!G26</f>
        <v>0</v>
      </c>
      <c r="Q62" s="45">
        <f>B组循环赛总分!H26</f>
        <v>0</v>
      </c>
    </row>
    <row r="63" spans="1:17" ht="15" x14ac:dyDescent="0.25">
      <c r="A63" s="6" t="s">
        <v>282</v>
      </c>
      <c r="B63" s="46" t="s">
        <v>60</v>
      </c>
      <c r="C63" s="38">
        <f>VLOOKUP(A63,B组循环赛4轮!A:H,6,FALSE)</f>
        <v>3</v>
      </c>
      <c r="D63" s="39" t="str">
        <f>VLOOKUP(A63,B组循环赛4轮!A:H,2,FALSE)</f>
        <v>B9 - Wang Cliff</v>
      </c>
      <c r="E63" s="39" t="str">
        <f>VLOOKUP(A63,B组循环赛4轮!A:H,3,FALSE)</f>
        <v>B20 - Feng Yaru</v>
      </c>
      <c r="F63" s="39" t="str">
        <f>VLOOKUP(A63,B组循环赛4轮!A:H,4,FALSE)</f>
        <v>B2 - Lu Dongmei</v>
      </c>
      <c r="G63" s="39" t="str">
        <f>VLOOKUP(A63,B组循环赛4轮!A:H,5,FALSE)</f>
        <v>B32 - Wang Mengyi</v>
      </c>
      <c r="H63" s="52">
        <f>VLOOKUP(A63,B组循环赛4轮!A:H,7,FALSE)</f>
        <v>0</v>
      </c>
      <c r="I63" s="52">
        <f>VLOOKUP(A63,B组循环赛4轮!A:H,8,FALSE)</f>
        <v>0</v>
      </c>
      <c r="M63" s="43" t="s">
        <v>337</v>
      </c>
      <c r="N63" s="44">
        <v>26</v>
      </c>
      <c r="O63" s="44" t="str">
        <f>B组循环赛总分!F27</f>
        <v>B26 - Mike Nie</v>
      </c>
      <c r="P63" s="45">
        <f>B组循环赛总分!G27</f>
        <v>0</v>
      </c>
      <c r="Q63" s="45">
        <f>B组循环赛总分!H27</f>
        <v>0</v>
      </c>
    </row>
    <row r="64" spans="1:17" ht="15" x14ac:dyDescent="0.25">
      <c r="A64" s="6" t="s">
        <v>283</v>
      </c>
      <c r="B64" s="37" t="s">
        <v>60</v>
      </c>
      <c r="C64" s="38">
        <f>VLOOKUP(A64,B组循环赛4轮!A:H,6,FALSE)</f>
        <v>4</v>
      </c>
      <c r="D64" s="39" t="str">
        <f>VLOOKUP(A64,B组循环赛4轮!A:H,2,FALSE)</f>
        <v>B10 - Li Lisa</v>
      </c>
      <c r="E64" s="39" t="str">
        <f>VLOOKUP(A64,B组循环赛4轮!A:H,3,FALSE)</f>
        <v>B22 - Li Sheng</v>
      </c>
      <c r="F64" s="39" t="str">
        <f>VLOOKUP(A64,B组循环赛4轮!A:H,4,FALSE)</f>
        <v>B1 - 张 卫明</v>
      </c>
      <c r="G64" s="39" t="str">
        <f>VLOOKUP(A64,B组循环赛4轮!A:H,5,FALSE)</f>
        <v>B35 - Rong Robert</v>
      </c>
      <c r="H64" s="52">
        <f>VLOOKUP(A64,B组循环赛4轮!A:H,7,FALSE)</f>
        <v>0</v>
      </c>
      <c r="I64" s="52">
        <f>VLOOKUP(A64,B组循环赛4轮!A:H,8,FALSE)</f>
        <v>0</v>
      </c>
      <c r="M64" s="43" t="s">
        <v>337</v>
      </c>
      <c r="N64" s="44">
        <v>27</v>
      </c>
      <c r="O64" s="44" t="str">
        <f>B组循环赛总分!F28</f>
        <v>B27 - 郭 庆</v>
      </c>
      <c r="P64" s="45">
        <f>B组循环赛总分!G28</f>
        <v>0</v>
      </c>
      <c r="Q64" s="45">
        <f>B组循环赛总分!H28</f>
        <v>0</v>
      </c>
    </row>
    <row r="65" spans="1:17" ht="15" x14ac:dyDescent="0.25">
      <c r="A65" s="6" t="s">
        <v>284</v>
      </c>
      <c r="B65" s="46" t="s">
        <v>60</v>
      </c>
      <c r="C65" s="38">
        <f>VLOOKUP(A65,B组循环赛4轮!A:H,6,FALSE)</f>
        <v>5</v>
      </c>
      <c r="D65" s="39" t="str">
        <f>VLOOKUP(A65,B组循环赛4轮!A:H,2,FALSE)</f>
        <v>B8 - Liang Jessie</v>
      </c>
      <c r="E65" s="39" t="str">
        <f>VLOOKUP(A65,B组循环赛4轮!A:H,3,FALSE)</f>
        <v>B33 - 王 桐</v>
      </c>
      <c r="F65" s="39" t="str">
        <f>VLOOKUP(A65,B组循环赛4轮!A:H,4,FALSE)</f>
        <v>B3 - Li Jingyan</v>
      </c>
      <c r="G65" s="39" t="str">
        <f>VLOOKUP(A65,B组循环赛4轮!A:H,5,FALSE)</f>
        <v>B4 - 张 立诚</v>
      </c>
      <c r="H65" s="52">
        <f>VLOOKUP(A65,B组循环赛4轮!A:H,7,FALSE)</f>
        <v>0</v>
      </c>
      <c r="I65" s="52">
        <f>VLOOKUP(A65,B组循环赛4轮!A:H,8,FALSE)</f>
        <v>0</v>
      </c>
      <c r="M65" s="43" t="s">
        <v>337</v>
      </c>
      <c r="N65" s="44">
        <v>28</v>
      </c>
      <c r="O65" s="44" t="str">
        <f>B组循环赛总分!F29</f>
        <v>B28 - Yuan Jenny</v>
      </c>
      <c r="P65" s="45">
        <f>B组循环赛总分!G29</f>
        <v>0</v>
      </c>
      <c r="Q65" s="45">
        <f>B组循环赛总分!H29</f>
        <v>0</v>
      </c>
    </row>
    <row r="66" spans="1:17" ht="15" x14ac:dyDescent="0.25">
      <c r="A66" s="6" t="s">
        <v>285</v>
      </c>
      <c r="B66" s="37" t="s">
        <v>60</v>
      </c>
      <c r="C66" s="38">
        <f>VLOOKUP(A66,B组循环赛4轮!A:H,6,FALSE)</f>
        <v>6</v>
      </c>
      <c r="D66" s="39" t="str">
        <f>VLOOKUP(A66,B组循环赛4轮!A:H,2,FALSE)</f>
        <v>B29 - 焦 冬</v>
      </c>
      <c r="E66" s="39" t="str">
        <f>VLOOKUP(A66,B组循环赛4轮!A:H,3,FALSE)</f>
        <v>B30 - 董 Grace</v>
      </c>
      <c r="F66" s="39" t="str">
        <f>VLOOKUP(A66,B组循环赛4轮!A:H,4,FALSE)</f>
        <v>B11 - Lin Linda</v>
      </c>
      <c r="G66" s="39" t="str">
        <f>VLOOKUP(A66,B组循环赛4轮!A:H,5,FALSE)</f>
        <v>B17 - 张 圣云</v>
      </c>
      <c r="H66" s="52">
        <f>VLOOKUP(A66,B组循环赛4轮!A:H,7,FALSE)</f>
        <v>0</v>
      </c>
      <c r="I66" s="52">
        <f>VLOOKUP(A66,B组循环赛4轮!A:H,8,FALSE)</f>
        <v>0</v>
      </c>
      <c r="M66" s="43" t="s">
        <v>337</v>
      </c>
      <c r="N66" s="44">
        <v>29</v>
      </c>
      <c r="O66" s="44" t="str">
        <f>B组循环赛总分!F30</f>
        <v>B29 - 焦 冬</v>
      </c>
      <c r="P66" s="45">
        <f>B组循环赛总分!G30</f>
        <v>0</v>
      </c>
      <c r="Q66" s="45">
        <f>B组循环赛总分!H30</f>
        <v>0</v>
      </c>
    </row>
    <row r="67" spans="1:17" ht="15" x14ac:dyDescent="0.25">
      <c r="A67" s="6" t="s">
        <v>286</v>
      </c>
      <c r="B67" s="46" t="s">
        <v>60</v>
      </c>
      <c r="C67" s="38">
        <f>VLOOKUP(A67,B组循环赛4轮!A:H,6,FALSE)</f>
        <v>4</v>
      </c>
      <c r="D67" s="39" t="str">
        <f>VLOOKUP(A67,B组循环赛4轮!A:H,2,FALSE)</f>
        <v>B23 - 王 旭</v>
      </c>
      <c r="E67" s="39" t="str">
        <f>VLOOKUP(A67,B组循环赛4轮!A:H,3,FALSE)</f>
        <v>B26 - Mike Nie</v>
      </c>
      <c r="F67" s="39" t="str">
        <f>VLOOKUP(A67,B组循环赛4轮!A:H,4,FALSE)</f>
        <v>B12 - Gou James</v>
      </c>
      <c r="G67" s="39" t="str">
        <f>VLOOKUP(A67,B组循环赛4轮!A:H,5,FALSE)</f>
        <v>B13 - 陈 海容</v>
      </c>
      <c r="H67" s="52">
        <f>VLOOKUP(A67,B组循环赛4轮!A:H,7,FALSE)</f>
        <v>0</v>
      </c>
      <c r="I67" s="52">
        <f>VLOOKUP(A67,B组循环赛4轮!A:H,8,FALSE)</f>
        <v>0</v>
      </c>
      <c r="M67" s="43" t="s">
        <v>337</v>
      </c>
      <c r="N67" s="44">
        <v>30</v>
      </c>
      <c r="O67" s="44" t="str">
        <f>B组循环赛总分!F31</f>
        <v>B30 - 董 Grace</v>
      </c>
      <c r="P67" s="45">
        <f>B组循环赛总分!G31</f>
        <v>0</v>
      </c>
      <c r="Q67" s="45">
        <f>B组循环赛总分!H31</f>
        <v>0</v>
      </c>
    </row>
    <row r="68" spans="1:17" ht="15" x14ac:dyDescent="0.25">
      <c r="A68" s="6" t="s">
        <v>287</v>
      </c>
      <c r="B68" s="37" t="s">
        <v>60</v>
      </c>
      <c r="C68" s="38">
        <f>VLOOKUP(A68,B组循环赛4轮!A:H,6,FALSE)</f>
        <v>5</v>
      </c>
      <c r="D68" s="39" t="str">
        <f>VLOOKUP(A68,B组循环赛4轮!A:H,2,FALSE)</f>
        <v>B19 - Tian Wanting</v>
      </c>
      <c r="E68" s="39" t="str">
        <f>VLOOKUP(A68,B组循环赛4轮!A:H,3,FALSE)</f>
        <v>B24 - Xia Guibai</v>
      </c>
      <c r="F68" s="39" t="str">
        <f>VLOOKUP(A68,B组循环赛4轮!A:H,4,FALSE)</f>
        <v>B14 - 李 青</v>
      </c>
      <c r="G68" s="39" t="str">
        <f>VLOOKUP(A68,B组循环赛4轮!A:H,5,FALSE)</f>
        <v>B25 - Zhan Lixin</v>
      </c>
      <c r="H68" s="52">
        <f>VLOOKUP(A68,B组循环赛4轮!A:H,7,FALSE)</f>
        <v>0</v>
      </c>
      <c r="I68" s="52">
        <f>VLOOKUP(A68,B组循环赛4轮!A:H,8,FALSE)</f>
        <v>0</v>
      </c>
      <c r="M68" s="43" t="s">
        <v>337</v>
      </c>
      <c r="N68" s="44">
        <v>31</v>
      </c>
      <c r="O68" s="44" t="str">
        <f>B组循环赛总分!F32</f>
        <v>B31 - 金 锦</v>
      </c>
      <c r="P68" s="45">
        <f>B组循环赛总分!G32</f>
        <v>0</v>
      </c>
      <c r="Q68" s="45">
        <f>B组循环赛总分!H32</f>
        <v>0</v>
      </c>
    </row>
    <row r="69" spans="1:17" ht="15" x14ac:dyDescent="0.25">
      <c r="A69" s="6" t="s">
        <v>288</v>
      </c>
      <c r="B69" s="46" t="s">
        <v>60</v>
      </c>
      <c r="C69" s="38">
        <f>VLOOKUP(A69,B组循环赛4轮!A:H,6,FALSE)</f>
        <v>6</v>
      </c>
      <c r="D69" s="39" t="str">
        <f>VLOOKUP(A69,B组循环赛4轮!A:H,2,FALSE)</f>
        <v>B18 - 彭 飞</v>
      </c>
      <c r="E69" s="39" t="str">
        <f>VLOOKUP(A69,B组循环赛4轮!A:H,3,FALSE)</f>
        <v>B36 - Song Qingxia</v>
      </c>
      <c r="F69" s="39" t="str">
        <f>VLOOKUP(A69,B组循环赛4轮!A:H,4,FALSE)</f>
        <v>B16 - Guo Sherry</v>
      </c>
      <c r="G69" s="39" t="str">
        <f>VLOOKUP(A69,B组循环赛4轮!A:H,5,FALSE)</f>
        <v>B27 - 郭 庆</v>
      </c>
      <c r="H69" s="52">
        <f>VLOOKUP(A69,B组循环赛4轮!A:H,7,FALSE)</f>
        <v>0</v>
      </c>
      <c r="I69" s="52">
        <f>VLOOKUP(A69,B组循环赛4轮!A:H,8,FALSE)</f>
        <v>0</v>
      </c>
      <c r="M69" s="43" t="s">
        <v>337</v>
      </c>
      <c r="N69" s="44">
        <v>32</v>
      </c>
      <c r="O69" s="44" t="str">
        <f>B组循环赛总分!F33</f>
        <v>B32 - Wang Mengyi</v>
      </c>
      <c r="P69" s="45">
        <f>B组循环赛总分!G33</f>
        <v>0</v>
      </c>
      <c r="Q69" s="45">
        <f>B组循环赛总分!H33</f>
        <v>0</v>
      </c>
    </row>
    <row r="70" spans="1:17" ht="15" x14ac:dyDescent="0.25">
      <c r="A70" s="6" t="s">
        <v>289</v>
      </c>
      <c r="B70" s="37" t="s">
        <v>61</v>
      </c>
      <c r="C70" s="38">
        <f>VLOOKUP(A70,B组循环赛4轮!A:H,6,FALSE)</f>
        <v>1</v>
      </c>
      <c r="D70" s="39" t="str">
        <f>VLOOKUP(A70,B组循环赛4轮!A:H,2,FALSE)</f>
        <v>B33 - 王 桐</v>
      </c>
      <c r="E70" s="39" t="str">
        <f>VLOOKUP(A70,B组循环赛4轮!A:H,3,FALSE)</f>
        <v>B34 - 殷 亚兰</v>
      </c>
      <c r="F70" s="39" t="str">
        <f>VLOOKUP(A70,B组循环赛4轮!A:H,4,FALSE)</f>
        <v>B9 - Wang Cliff</v>
      </c>
      <c r="G70" s="39" t="str">
        <f>VLOOKUP(A70,B组循环赛4轮!A:H,5,FALSE)</f>
        <v>B10 - Li Lisa</v>
      </c>
      <c r="H70" s="52">
        <f>VLOOKUP(A70,B组循环赛4轮!A:H,7,FALSE)</f>
        <v>0</v>
      </c>
      <c r="I70" s="52">
        <f>VLOOKUP(A70,B组循环赛4轮!A:H,8,FALSE)</f>
        <v>0</v>
      </c>
      <c r="M70" s="43" t="s">
        <v>337</v>
      </c>
      <c r="N70" s="44">
        <v>33</v>
      </c>
      <c r="O70" s="44" t="str">
        <f>B组循环赛总分!F34</f>
        <v>B33 - 王 桐</v>
      </c>
      <c r="P70" s="45">
        <f>B组循环赛总分!G34</f>
        <v>0</v>
      </c>
      <c r="Q70" s="45">
        <f>B组循环赛总分!H34</f>
        <v>0</v>
      </c>
    </row>
    <row r="71" spans="1:17" ht="15" x14ac:dyDescent="0.25">
      <c r="A71" s="6" t="s">
        <v>290</v>
      </c>
      <c r="B71" s="46" t="s">
        <v>61</v>
      </c>
      <c r="C71" s="38">
        <f>VLOOKUP(A71,B组循环赛4轮!A:H,6,FALSE)</f>
        <v>2</v>
      </c>
      <c r="D71" s="39" t="str">
        <f>VLOOKUP(A71,B组循环赛4轮!A:H,2,FALSE)</f>
        <v>B22 - Li Sheng</v>
      </c>
      <c r="E71" s="39" t="str">
        <f>VLOOKUP(A71,B组循环赛4轮!A:H,3,FALSE)</f>
        <v>B30 - 董 Grace</v>
      </c>
      <c r="F71" s="39" t="str">
        <f>VLOOKUP(A71,B组循环赛4轮!A:H,4,FALSE)</f>
        <v>B8 - Liang Jessie</v>
      </c>
      <c r="G71" s="39" t="str">
        <f>VLOOKUP(A71,B组循环赛4轮!A:H,5,FALSE)</f>
        <v>B14 - 李 青</v>
      </c>
      <c r="H71" s="52">
        <f>VLOOKUP(A71,B组循环赛4轮!A:H,7,FALSE)</f>
        <v>0</v>
      </c>
      <c r="I71" s="52">
        <f>VLOOKUP(A71,B组循环赛4轮!A:H,8,FALSE)</f>
        <v>0</v>
      </c>
      <c r="M71" s="43" t="s">
        <v>337</v>
      </c>
      <c r="N71" s="44">
        <v>34</v>
      </c>
      <c r="O71" s="44" t="str">
        <f>B组循环赛总分!F35</f>
        <v>B34 - 殷 亚兰</v>
      </c>
      <c r="P71" s="45">
        <f>B组循环赛总分!G35</f>
        <v>0</v>
      </c>
      <c r="Q71" s="45">
        <f>B组循环赛总分!H35</f>
        <v>0</v>
      </c>
    </row>
    <row r="72" spans="1:17" ht="15" x14ac:dyDescent="0.25">
      <c r="A72" s="6" t="s">
        <v>291</v>
      </c>
      <c r="B72" s="37" t="s">
        <v>61</v>
      </c>
      <c r="C72" s="38">
        <f>VLOOKUP(A72,B组循环赛4轮!A:H,6,FALSE)</f>
        <v>3</v>
      </c>
      <c r="D72" s="39" t="str">
        <f>VLOOKUP(A72,B组循环赛4轮!A:H,2,FALSE)</f>
        <v>B27 - 郭 庆</v>
      </c>
      <c r="E72" s="39" t="str">
        <f>VLOOKUP(A72,B组循环赛4轮!A:H,3,FALSE)</f>
        <v>B36 - Song Qingxia</v>
      </c>
      <c r="F72" s="39" t="str">
        <f>VLOOKUP(A72,B组循环赛4轮!A:H,4,FALSE)</f>
        <v>B15 - 罗 野</v>
      </c>
      <c r="G72" s="39" t="str">
        <f>VLOOKUP(A72,B组循环赛4轮!A:H,5,FALSE)</f>
        <v>B28 - Yuan Jenny</v>
      </c>
      <c r="H72" s="52">
        <f>VLOOKUP(A72,B组循环赛4轮!A:H,7,FALSE)</f>
        <v>0</v>
      </c>
      <c r="I72" s="52">
        <f>VLOOKUP(A72,B组循环赛4轮!A:H,8,FALSE)</f>
        <v>0</v>
      </c>
      <c r="M72" s="43" t="s">
        <v>337</v>
      </c>
      <c r="N72" s="44">
        <v>35</v>
      </c>
      <c r="O72" s="44" t="str">
        <f>B组循环赛总分!F36</f>
        <v>B35 - Rong Robert</v>
      </c>
      <c r="P72" s="45">
        <f>B组循环赛总分!G36</f>
        <v>0</v>
      </c>
      <c r="Q72" s="45">
        <f>B组循环赛总分!H36</f>
        <v>0</v>
      </c>
    </row>
    <row r="73" spans="1:17" ht="15" x14ac:dyDescent="0.25">
      <c r="A73" s="6" t="s">
        <v>292</v>
      </c>
      <c r="B73" s="46" t="s">
        <v>61</v>
      </c>
      <c r="C73" s="38">
        <f>VLOOKUP(A73,B组循环赛4轮!A:H,6,FALSE)</f>
        <v>4</v>
      </c>
      <c r="D73" s="39" t="str">
        <f>VLOOKUP(A73,B组循环赛4轮!A:H,2,FALSE)</f>
        <v>B7 - jiang 红柳</v>
      </c>
      <c r="E73" s="39" t="str">
        <f>VLOOKUP(A73,B组循环赛4轮!A:H,3,FALSE)</f>
        <v>B29 - 焦 冬</v>
      </c>
      <c r="F73" s="39" t="str">
        <f>VLOOKUP(A73,B组循环赛4轮!A:H,4,FALSE)</f>
        <v>B1 - 张 卫明</v>
      </c>
      <c r="G73" s="39" t="str">
        <f>VLOOKUP(A73,B组循环赛4轮!A:H,5,FALSE)</f>
        <v>B12 - Gou James</v>
      </c>
      <c r="H73" s="52">
        <f>VLOOKUP(A73,B组循环赛4轮!A:H,7,FALSE)</f>
        <v>0</v>
      </c>
      <c r="I73" s="52">
        <f>VLOOKUP(A73,B组循环赛4轮!A:H,8,FALSE)</f>
        <v>0</v>
      </c>
      <c r="M73" s="43" t="s">
        <v>337</v>
      </c>
      <c r="N73" s="44">
        <v>36</v>
      </c>
      <c r="O73" s="44" t="str">
        <f>B组循环赛总分!F37</f>
        <v>B36 - Song Qingxia</v>
      </c>
      <c r="P73" s="45">
        <f>B组循环赛总分!G37</f>
        <v>0</v>
      </c>
      <c r="Q73" s="45">
        <f>B组循环赛总分!H37</f>
        <v>0</v>
      </c>
    </row>
    <row r="74" spans="1:17" ht="15" x14ac:dyDescent="0.25">
      <c r="A74" s="6" t="s">
        <v>293</v>
      </c>
      <c r="B74" s="37" t="s">
        <v>61</v>
      </c>
      <c r="C74" s="38">
        <f>VLOOKUP(A74,B组循环赛4轮!A:H,6,FALSE)</f>
        <v>5</v>
      </c>
      <c r="D74" s="39" t="str">
        <f>VLOOKUP(A74,B组循环赛4轮!A:H,2,FALSE)</f>
        <v>B20 - Feng Yaru</v>
      </c>
      <c r="E74" s="39" t="str">
        <f>VLOOKUP(A74,B组循环赛4轮!A:H,3,FALSE)</f>
        <v>B25 - Zhan Lixin</v>
      </c>
      <c r="F74" s="39" t="str">
        <f>VLOOKUP(A74,B组循环赛4轮!A:H,4,FALSE)</f>
        <v>B6 - 吕 秀华</v>
      </c>
      <c r="G74" s="39" t="str">
        <f>VLOOKUP(A74,B组循环赛4轮!A:H,5,FALSE)</f>
        <v>B26 - Mike Nie</v>
      </c>
      <c r="H74" s="52">
        <f>VLOOKUP(A74,B组循环赛4轮!A:H,7,FALSE)</f>
        <v>0</v>
      </c>
      <c r="I74" s="52">
        <f>VLOOKUP(A74,B组循环赛4轮!A:H,8,FALSE)</f>
        <v>0</v>
      </c>
      <c r="M74" s="47"/>
    </row>
    <row r="75" spans="1:17" ht="15" x14ac:dyDescent="0.25">
      <c r="A75" s="6" t="s">
        <v>294</v>
      </c>
      <c r="B75" s="46" t="s">
        <v>61</v>
      </c>
      <c r="C75" s="38">
        <f>VLOOKUP(A75,B组循环赛4轮!A:H,6,FALSE)</f>
        <v>6</v>
      </c>
      <c r="D75" s="39" t="str">
        <f>VLOOKUP(A75,B组循环赛4轮!A:H,2,FALSE)</f>
        <v>B13 - 陈 海容</v>
      </c>
      <c r="E75" s="39" t="str">
        <f>VLOOKUP(A75,B组循环赛4轮!A:H,3,FALSE)</f>
        <v>B35 - Rong Robert</v>
      </c>
      <c r="F75" s="39" t="str">
        <f>VLOOKUP(A75,B组循环赛4轮!A:H,4,FALSE)</f>
        <v>B3 - Li Jingyan</v>
      </c>
      <c r="G75" s="39" t="str">
        <f>VLOOKUP(A75,B组循环赛4轮!A:H,5,FALSE)</f>
        <v>B31 - 金 锦</v>
      </c>
      <c r="H75" s="52">
        <f>VLOOKUP(A75,B组循环赛4轮!A:H,7,FALSE)</f>
        <v>0</v>
      </c>
      <c r="I75" s="52">
        <f>VLOOKUP(A75,B组循环赛4轮!A:H,8,FALSE)</f>
        <v>0</v>
      </c>
      <c r="M75" s="47"/>
    </row>
    <row r="76" spans="1:17" ht="15" x14ac:dyDescent="0.25">
      <c r="A76" s="6" t="s">
        <v>295</v>
      </c>
      <c r="B76" s="37" t="s">
        <v>61</v>
      </c>
      <c r="C76" s="38">
        <f>VLOOKUP(A76,B组循环赛4轮!A:H,6,FALSE)</f>
        <v>4</v>
      </c>
      <c r="D76" s="39" t="str">
        <f>VLOOKUP(A76,B组循环赛4轮!A:H,2,FALSE)</f>
        <v>B23 - 王 旭</v>
      </c>
      <c r="E76" s="39" t="str">
        <f>VLOOKUP(A76,B组循环赛4轮!A:H,3,FALSE)</f>
        <v>B24 - Xia Guibai</v>
      </c>
      <c r="F76" s="39" t="str">
        <f>VLOOKUP(A76,B组循环赛4轮!A:H,4,FALSE)</f>
        <v>B2 - Lu Dongmei</v>
      </c>
      <c r="G76" s="39" t="str">
        <f>VLOOKUP(A76,B组循环赛4轮!A:H,5,FALSE)</f>
        <v>B4 - 张 立诚</v>
      </c>
      <c r="H76" s="52">
        <f>VLOOKUP(A76,B组循环赛4轮!A:H,7,FALSE)</f>
        <v>0</v>
      </c>
      <c r="I76" s="52">
        <f>VLOOKUP(A76,B组循环赛4轮!A:H,8,FALSE)</f>
        <v>0</v>
      </c>
      <c r="M76" s="47"/>
    </row>
    <row r="77" spans="1:17" ht="15" x14ac:dyDescent="0.25">
      <c r="A77" s="6" t="s">
        <v>296</v>
      </c>
      <c r="B77" s="46" t="s">
        <v>61</v>
      </c>
      <c r="C77" s="38">
        <f>VLOOKUP(A77,B组循环赛4轮!A:H,6,FALSE)</f>
        <v>5</v>
      </c>
      <c r="D77" s="39" t="str">
        <f>VLOOKUP(A77,B组循环赛4轮!A:H,2,FALSE)</f>
        <v>B18 - 彭 飞</v>
      </c>
      <c r="E77" s="39" t="str">
        <f>VLOOKUP(A77,B组循环赛4轮!A:H,3,FALSE)</f>
        <v>B19 - Tian Wanting</v>
      </c>
      <c r="F77" s="39" t="str">
        <f>VLOOKUP(A77,B组循环赛4轮!A:H,4,FALSE)</f>
        <v>B5 - Yuan Stellven</v>
      </c>
      <c r="G77" s="39" t="str">
        <f>VLOOKUP(A77,B组循环赛4轮!A:H,5,FALSE)</f>
        <v>B11 - Lin Linda</v>
      </c>
      <c r="H77" s="52">
        <f>VLOOKUP(A77,B组循环赛4轮!A:H,7,FALSE)</f>
        <v>0</v>
      </c>
      <c r="I77" s="52">
        <f>VLOOKUP(A77,B组循环赛4轮!A:H,8,FALSE)</f>
        <v>0</v>
      </c>
      <c r="M77" s="47"/>
    </row>
    <row r="78" spans="1:17" ht="15" x14ac:dyDescent="0.25">
      <c r="A78" s="6" t="s">
        <v>297</v>
      </c>
      <c r="B78" s="37" t="s">
        <v>61</v>
      </c>
      <c r="C78" s="38">
        <f>VLOOKUP(A78,B组循环赛4轮!A:H,6,FALSE)</f>
        <v>6</v>
      </c>
      <c r="D78" s="39" t="str">
        <f>VLOOKUP(A78,B组循环赛4轮!A:H,2,FALSE)</f>
        <v>B21 - Zhao Helen</v>
      </c>
      <c r="E78" s="39" t="str">
        <f>VLOOKUP(A78,B组循环赛4轮!A:H,3,FALSE)</f>
        <v>B32 - Wang Mengyi</v>
      </c>
      <c r="F78" s="39" t="str">
        <f>VLOOKUP(A78,B组循环赛4轮!A:H,4,FALSE)</f>
        <v>B16 - Guo Sherry</v>
      </c>
      <c r="G78" s="39" t="str">
        <f>VLOOKUP(A78,B组循环赛4轮!A:H,5,FALSE)</f>
        <v>B17 - 张 圣云</v>
      </c>
      <c r="H78" s="52">
        <f>VLOOKUP(A78,B组循环赛4轮!A:H,7,FALSE)</f>
        <v>0</v>
      </c>
      <c r="I78" s="52">
        <f>VLOOKUP(A78,B组循环赛4轮!A:H,8,FALSE)</f>
        <v>0</v>
      </c>
      <c r="M78" s="47"/>
    </row>
    <row r="79" spans="1:17" ht="15" x14ac:dyDescent="0.25">
      <c r="A79" s="6" t="s">
        <v>298</v>
      </c>
      <c r="B79" s="37" t="s">
        <v>62</v>
      </c>
      <c r="C79" s="38">
        <f>VLOOKUP(A79,B组循环赛4轮!A:H,6,FALSE)</f>
        <v>1</v>
      </c>
      <c r="D79" s="39" t="str">
        <f>VLOOKUP(A79,B组循环赛4轮!A:H,2,FALSE)</f>
        <v>B21 - Zhao Helen</v>
      </c>
      <c r="E79" s="39" t="str">
        <f>VLOOKUP(A79,B组循环赛4轮!A:H,3,FALSE)</f>
        <v>B35 - Rong Robert</v>
      </c>
      <c r="F79" s="39" t="str">
        <f>VLOOKUP(A79,B组循环赛4轮!A:H,4,FALSE)</f>
        <v>B12 - Gou James</v>
      </c>
      <c r="G79" s="39" t="str">
        <f>VLOOKUP(A79,B组循环赛4轮!A:H,5,FALSE)</f>
        <v>B30 - 董 Grace</v>
      </c>
      <c r="H79" s="52">
        <f>VLOOKUP(A79,B组循环赛4轮!A:H,7,FALSE)</f>
        <v>0</v>
      </c>
      <c r="I79" s="52">
        <f>VLOOKUP(A79,B组循环赛4轮!A:H,8,FALSE)</f>
        <v>0</v>
      </c>
      <c r="M79" s="47"/>
    </row>
    <row r="80" spans="1:17" ht="15" x14ac:dyDescent="0.25">
      <c r="A80" s="6" t="s">
        <v>299</v>
      </c>
      <c r="B80" s="37" t="s">
        <v>62</v>
      </c>
      <c r="C80" s="38">
        <f>VLOOKUP(A80,B组循环赛4轮!A:H,6,FALSE)</f>
        <v>2</v>
      </c>
      <c r="D80" s="39" t="str">
        <f>VLOOKUP(A80,B组循环赛4轮!A:H,2,FALSE)</f>
        <v>B19 - Tian Wanting</v>
      </c>
      <c r="E80" s="39" t="str">
        <f>VLOOKUP(A80,B组循环赛4轮!A:H,3,FALSE)</f>
        <v>B26 - Mike Nie</v>
      </c>
      <c r="F80" s="39" t="str">
        <f>VLOOKUP(A80,B组循环赛4轮!A:H,4,FALSE)</f>
        <v>B22 - Li Sheng</v>
      </c>
      <c r="G80" s="39" t="str">
        <f>VLOOKUP(A80,B组循环赛4轮!A:H,5,FALSE)</f>
        <v>B34 - 殷 亚兰</v>
      </c>
      <c r="H80" s="52">
        <f>VLOOKUP(A80,B组循环赛4轮!A:H,7,FALSE)</f>
        <v>0</v>
      </c>
      <c r="I80" s="52">
        <f>VLOOKUP(A80,B组循环赛4轮!A:H,8,FALSE)</f>
        <v>0</v>
      </c>
      <c r="M80" s="47"/>
    </row>
    <row r="81" spans="1:13" ht="15" x14ac:dyDescent="0.25">
      <c r="A81" s="6" t="s">
        <v>300</v>
      </c>
      <c r="B81" s="37" t="s">
        <v>62</v>
      </c>
      <c r="C81" s="38">
        <f>VLOOKUP(A81,B组循环赛4轮!A:H,6,FALSE)</f>
        <v>3</v>
      </c>
      <c r="D81" s="39" t="str">
        <f>VLOOKUP(A81,B组循环赛4轮!A:H,2,FALSE)</f>
        <v>B15 - 罗 野</v>
      </c>
      <c r="E81" s="39" t="str">
        <f>VLOOKUP(A81,B组循环赛4轮!A:H,3,FALSE)</f>
        <v>B20 - Feng Yaru</v>
      </c>
      <c r="F81" s="39" t="str">
        <f>VLOOKUP(A81,B组循环赛4轮!A:H,4,FALSE)</f>
        <v>B13 - 陈 海容</v>
      </c>
      <c r="G81" s="39" t="str">
        <f>VLOOKUP(A81,B组循环赛4轮!A:H,5,FALSE)</f>
        <v>B33 - 王 桐</v>
      </c>
      <c r="H81" s="52">
        <f>VLOOKUP(A81,B组循环赛4轮!A:H,7,FALSE)</f>
        <v>0</v>
      </c>
      <c r="I81" s="52">
        <f>VLOOKUP(A81,B组循环赛4轮!A:H,8,FALSE)</f>
        <v>0</v>
      </c>
      <c r="M81" s="47"/>
    </row>
    <row r="82" spans="1:13" ht="15" x14ac:dyDescent="0.25">
      <c r="A82" s="6" t="s">
        <v>301</v>
      </c>
      <c r="B82" s="37" t="s">
        <v>62</v>
      </c>
      <c r="C82" s="38">
        <f>VLOOKUP(A82,B组循环赛4轮!A:H,6,FALSE)</f>
        <v>4</v>
      </c>
      <c r="D82" s="39" t="str">
        <f>VLOOKUP(A82,B组循环赛4轮!A:H,2,FALSE)</f>
        <v>B9 - Wang Cliff</v>
      </c>
      <c r="E82" s="39" t="str">
        <f>VLOOKUP(A82,B组循环赛4轮!A:H,3,FALSE)</f>
        <v>B24 - Xia Guibai</v>
      </c>
      <c r="F82" s="39" t="str">
        <f>VLOOKUP(A82,B组循环赛4轮!A:H,4,FALSE)</f>
        <v>B18 - 彭 飞</v>
      </c>
      <c r="G82" s="39" t="str">
        <f>VLOOKUP(A82,B组循环赛4轮!A:H,5,FALSE)</f>
        <v>B28 - Yuan Jenny</v>
      </c>
      <c r="H82" s="52">
        <f>VLOOKUP(A82,B组循环赛4轮!A:H,7,FALSE)</f>
        <v>0</v>
      </c>
      <c r="I82" s="52">
        <f>VLOOKUP(A82,B组循环赛4轮!A:H,8,FALSE)</f>
        <v>0</v>
      </c>
      <c r="M82" s="47"/>
    </row>
    <row r="83" spans="1:13" ht="15" x14ac:dyDescent="0.25">
      <c r="A83" s="6" t="s">
        <v>302</v>
      </c>
      <c r="B83" s="37" t="s">
        <v>62</v>
      </c>
      <c r="C83" s="38">
        <f>VLOOKUP(A83,B组循环赛4轮!A:H,6,FALSE)</f>
        <v>5</v>
      </c>
      <c r="D83" s="39" t="str">
        <f>VLOOKUP(A83,B组循环赛4轮!A:H,2,FALSE)</f>
        <v>B10 - Li Lisa</v>
      </c>
      <c r="E83" s="39" t="str">
        <f>VLOOKUP(A83,B组循环赛4轮!A:H,3,FALSE)</f>
        <v>B32 - Wang Mengyi</v>
      </c>
      <c r="F83" s="39" t="str">
        <f>VLOOKUP(A83,B组循环赛4轮!A:H,4,FALSE)</f>
        <v>B8 - Liang Jessie</v>
      </c>
      <c r="G83" s="39" t="str">
        <f>VLOOKUP(A83,B组循环赛4轮!A:H,5,FALSE)</f>
        <v>B29 - 焦 冬</v>
      </c>
      <c r="H83" s="52">
        <f>VLOOKUP(A83,B组循环赛4轮!A:H,7,FALSE)</f>
        <v>0</v>
      </c>
      <c r="I83" s="52">
        <f>VLOOKUP(A83,B组循环赛4轮!A:H,8,FALSE)</f>
        <v>0</v>
      </c>
      <c r="M83" s="47"/>
    </row>
    <row r="84" spans="1:13" ht="15" x14ac:dyDescent="0.25">
      <c r="A84" s="6" t="s">
        <v>303</v>
      </c>
      <c r="B84" s="37" t="s">
        <v>62</v>
      </c>
      <c r="C84" s="38">
        <f>VLOOKUP(A84,B组循环赛4轮!A:H,6,FALSE)</f>
        <v>6</v>
      </c>
      <c r="D84" s="39" t="str">
        <f>VLOOKUP(A84,B组循环赛4轮!A:H,2,FALSE)</f>
        <v>B1 - 张 卫明</v>
      </c>
      <c r="E84" s="39" t="str">
        <f>VLOOKUP(A84,B组循环赛4轮!A:H,3,FALSE)</f>
        <v>B25 - Zhan Lixin</v>
      </c>
      <c r="F84" s="39" t="str">
        <f>VLOOKUP(A84,B组循环赛4轮!A:H,4,FALSE)</f>
        <v>B16 - Guo Sherry</v>
      </c>
      <c r="G84" s="39" t="str">
        <f>VLOOKUP(A84,B组循环赛4轮!A:H,5,FALSE)</f>
        <v>B36 - Song Qingxia</v>
      </c>
      <c r="H84" s="52">
        <f>VLOOKUP(A84,B组循环赛4轮!A:H,7,FALSE)</f>
        <v>0</v>
      </c>
      <c r="I84" s="52">
        <f>VLOOKUP(A84,B组循环赛4轮!A:H,8,FALSE)</f>
        <v>0</v>
      </c>
      <c r="M84" s="47"/>
    </row>
    <row r="85" spans="1:13" ht="15" x14ac:dyDescent="0.25">
      <c r="A85" s="6" t="s">
        <v>304</v>
      </c>
      <c r="B85" s="37" t="s">
        <v>62</v>
      </c>
      <c r="C85" s="38">
        <f>VLOOKUP(A85,B组循环赛4轮!A:H,6,FALSE)</f>
        <v>4</v>
      </c>
      <c r="D85" s="39" t="str">
        <f>VLOOKUP(A85,B组循环赛4轮!A:H,2,FALSE)</f>
        <v>B7 - jiang 红柳</v>
      </c>
      <c r="E85" s="39" t="str">
        <f>VLOOKUP(A85,B组循环赛4轮!A:H,3,FALSE)</f>
        <v>B17 - 张 圣云</v>
      </c>
      <c r="F85" s="39" t="str">
        <f>VLOOKUP(A85,B组循环赛4轮!A:H,4,FALSE)</f>
        <v>B4 - 张 立诚</v>
      </c>
      <c r="G85" s="39" t="str">
        <f>VLOOKUP(A85,B组循环赛4轮!A:H,5,FALSE)</f>
        <v>B27 - 郭 庆</v>
      </c>
      <c r="H85" s="52">
        <f>VLOOKUP(A85,B组循环赛4轮!A:H,7,FALSE)</f>
        <v>0</v>
      </c>
      <c r="I85" s="52">
        <f>VLOOKUP(A85,B组循环赛4轮!A:H,8,FALSE)</f>
        <v>0</v>
      </c>
      <c r="M85" s="47"/>
    </row>
    <row r="86" spans="1:13" ht="15" x14ac:dyDescent="0.25">
      <c r="A86" s="6" t="s">
        <v>305</v>
      </c>
      <c r="B86" s="37" t="s">
        <v>62</v>
      </c>
      <c r="C86" s="38">
        <f>VLOOKUP(A86,B组循环赛4轮!A:H,6,FALSE)</f>
        <v>5</v>
      </c>
      <c r="D86" s="39" t="str">
        <f>VLOOKUP(A86,B组循环赛4轮!A:H,2,FALSE)</f>
        <v>B5 - Yuan Stellven</v>
      </c>
      <c r="E86" s="39" t="str">
        <f>VLOOKUP(A86,B组循环赛4轮!A:H,3,FALSE)</f>
        <v>B23 - 王 旭</v>
      </c>
      <c r="F86" s="39" t="str">
        <f>VLOOKUP(A86,B组循环赛4轮!A:H,4,FALSE)</f>
        <v>B6 - 吕 秀华</v>
      </c>
      <c r="G86" s="39" t="str">
        <f>VLOOKUP(A86,B组循环赛4轮!A:H,5,FALSE)</f>
        <v>B11 - Lin Linda</v>
      </c>
      <c r="H86" s="52">
        <f>VLOOKUP(A86,B组循环赛4轮!A:H,7,FALSE)</f>
        <v>0</v>
      </c>
      <c r="I86" s="52">
        <f>VLOOKUP(A86,B组循环赛4轮!A:H,8,FALSE)</f>
        <v>0</v>
      </c>
      <c r="M86" s="47"/>
    </row>
    <row r="87" spans="1:13" ht="15" x14ac:dyDescent="0.25">
      <c r="A87" s="6" t="s">
        <v>306</v>
      </c>
      <c r="B87" s="37" t="s">
        <v>62</v>
      </c>
      <c r="C87" s="38">
        <f>VLOOKUP(A87,B组循环赛4轮!A:H,6,FALSE)</f>
        <v>6</v>
      </c>
      <c r="D87" s="39" t="str">
        <f>VLOOKUP(A87,B组循环赛4轮!A:H,2,FALSE)</f>
        <v>B2 - Lu Dongmei</v>
      </c>
      <c r="E87" s="39" t="str">
        <f>VLOOKUP(A87,B组循环赛4轮!A:H,3,FALSE)</f>
        <v>B31 - 金 锦</v>
      </c>
      <c r="F87" s="39" t="str">
        <f>VLOOKUP(A87,B组循环赛4轮!A:H,4,FALSE)</f>
        <v>B3 - Li Jingyan</v>
      </c>
      <c r="G87" s="39" t="str">
        <f>VLOOKUP(A87,B组循环赛4轮!A:H,5,FALSE)</f>
        <v>B14 - 李 青</v>
      </c>
      <c r="H87" s="52">
        <f>VLOOKUP(A87,B组循环赛4轮!A:H,7,FALSE)</f>
        <v>0</v>
      </c>
      <c r="I87" s="52">
        <f>VLOOKUP(A87,B组循环赛4轮!A:H,8,FALSE)</f>
        <v>0</v>
      </c>
      <c r="M87" s="47"/>
    </row>
    <row r="88" spans="1:13" ht="15" x14ac:dyDescent="0.25">
      <c r="A88" s="6" t="s">
        <v>308</v>
      </c>
      <c r="B88" s="37" t="s">
        <v>342</v>
      </c>
      <c r="C88" s="48">
        <f>VLOOKUP(A88,B组淘汰赛!A:H,8,FALSE)</f>
        <v>1</v>
      </c>
      <c r="D88" s="49" t="str">
        <f>VLOOKUP(A88,B组淘汰赛!A:H,2,FALSE)</f>
        <v>B5 - Yuan Stellven</v>
      </c>
      <c r="E88" s="49" t="str">
        <f>VLOOKUP(A88,B组淘汰赛!A:H,3,FALSE)</f>
        <v>B6 - 吕 秀华</v>
      </c>
      <c r="F88" s="49" t="str">
        <f>VLOOKUP(A88,B组淘汰赛!A:H,4,FALSE)</f>
        <v>B27 - 郭 庆</v>
      </c>
      <c r="G88" s="49" t="str">
        <f>VLOOKUP(A88,B组淘汰赛!A:H,5,FALSE)</f>
        <v>B28 - Yuan Jenny</v>
      </c>
      <c r="H88" s="53">
        <f>VLOOKUP(A88,B组淘汰赛!A:H,6,FALSE)</f>
        <v>0</v>
      </c>
      <c r="I88" s="53">
        <f>VLOOKUP(A88,B组淘汰赛!A:H,7,FALSE)</f>
        <v>0</v>
      </c>
      <c r="M88" s="47"/>
    </row>
    <row r="89" spans="1:13" ht="15" x14ac:dyDescent="0.25">
      <c r="A89" s="6" t="s">
        <v>309</v>
      </c>
      <c r="B89" s="37" t="s">
        <v>342</v>
      </c>
      <c r="C89" s="48">
        <f>VLOOKUP(A89,B组淘汰赛!A:H,8,FALSE)</f>
        <v>2</v>
      </c>
      <c r="D89" s="49" t="str">
        <f>VLOOKUP(A89,B组淘汰赛!A:H,2,FALSE)</f>
        <v>B7 - jiang 红柳</v>
      </c>
      <c r="E89" s="49" t="str">
        <f>VLOOKUP(A89,B组淘汰赛!A:H,3,FALSE)</f>
        <v>B8 - Liang Jessie</v>
      </c>
      <c r="F89" s="49" t="str">
        <f>VLOOKUP(A89,B组淘汰赛!A:H,4,FALSE)</f>
        <v>B25 - Zhan Lixin</v>
      </c>
      <c r="G89" s="49" t="str">
        <f>VLOOKUP(A89,B组淘汰赛!A:H,5,FALSE)</f>
        <v>B26 - Mike Nie</v>
      </c>
      <c r="H89" s="53">
        <f>VLOOKUP(A89,B组淘汰赛!A:H,6,FALSE)</f>
        <v>0</v>
      </c>
      <c r="I89" s="53">
        <f>VLOOKUP(A89,B组淘汰赛!A:H,7,FALSE)</f>
        <v>0</v>
      </c>
      <c r="M89" s="47"/>
    </row>
    <row r="90" spans="1:13" ht="15" x14ac:dyDescent="0.25">
      <c r="A90" s="6" t="s">
        <v>310</v>
      </c>
      <c r="B90" s="37" t="s">
        <v>342</v>
      </c>
      <c r="C90" s="48">
        <f>VLOOKUP(A90,B组淘汰赛!A:H,8,FALSE)</f>
        <v>3</v>
      </c>
      <c r="D90" s="49" t="str">
        <f>VLOOKUP(A90,B组淘汰赛!A:H,2,FALSE)</f>
        <v>B9 - Wang Cliff</v>
      </c>
      <c r="E90" s="49" t="str">
        <f>VLOOKUP(A90,B组淘汰赛!A:H,3,FALSE)</f>
        <v>B10 - Li Lisa</v>
      </c>
      <c r="F90" s="49" t="str">
        <f>VLOOKUP(A90,B组淘汰赛!A:H,4,FALSE)</f>
        <v>B23 - 王 旭</v>
      </c>
      <c r="G90" s="49" t="str">
        <f>VLOOKUP(A90,B组淘汰赛!A:H,5,FALSE)</f>
        <v>B24 - Xia Guibai</v>
      </c>
      <c r="H90" s="53">
        <f>VLOOKUP(A90,B组淘汰赛!A:H,6,FALSE)</f>
        <v>0</v>
      </c>
      <c r="I90" s="53">
        <f>VLOOKUP(A90,B组淘汰赛!A:H,7,FALSE)</f>
        <v>0</v>
      </c>
      <c r="M90" s="47"/>
    </row>
    <row r="91" spans="1:13" ht="15" x14ac:dyDescent="0.25">
      <c r="A91" s="6" t="s">
        <v>311</v>
      </c>
      <c r="B91" s="37" t="s">
        <v>342</v>
      </c>
      <c r="C91" s="48">
        <f>VLOOKUP(A91,B组淘汰赛!A:H,8,FALSE)</f>
        <v>4</v>
      </c>
      <c r="D91" s="49" t="str">
        <f>VLOOKUP(A91,B组淘汰赛!A:H,2,FALSE)</f>
        <v>B11 - Lin Linda</v>
      </c>
      <c r="E91" s="49" t="str">
        <f>VLOOKUP(A91,B组淘汰赛!A:H,3,FALSE)</f>
        <v>B12 - Gou James</v>
      </c>
      <c r="F91" s="49" t="str">
        <f>VLOOKUP(A91,B组淘汰赛!A:H,4,FALSE)</f>
        <v>B21 - Zhao Helen</v>
      </c>
      <c r="G91" s="49" t="str">
        <f>VLOOKUP(A91,B组淘汰赛!A:H,5,FALSE)</f>
        <v>B22 - Li Sheng</v>
      </c>
      <c r="H91" s="53">
        <f>VLOOKUP(A91,B组淘汰赛!A:H,6,FALSE)</f>
        <v>0</v>
      </c>
      <c r="I91" s="53">
        <f>VLOOKUP(A91,B组淘汰赛!A:H,7,FALSE)</f>
        <v>0</v>
      </c>
      <c r="M91" s="47"/>
    </row>
    <row r="92" spans="1:13" ht="15" x14ac:dyDescent="0.25">
      <c r="A92" s="6" t="s">
        <v>312</v>
      </c>
      <c r="B92" s="37" t="s">
        <v>342</v>
      </c>
      <c r="C92" s="48">
        <f>VLOOKUP(A92,B组淘汰赛!A:H,8,FALSE)</f>
        <v>5</v>
      </c>
      <c r="D92" s="49" t="str">
        <f>VLOOKUP(A92,B组淘汰赛!A:H,2,FALSE)</f>
        <v>B13 - 陈 海容</v>
      </c>
      <c r="E92" s="49" t="str">
        <f>VLOOKUP(A92,B组淘汰赛!A:H,3,FALSE)</f>
        <v>B14 - 李 青</v>
      </c>
      <c r="F92" s="49" t="str">
        <f>VLOOKUP(A92,B组淘汰赛!A:H,4,FALSE)</f>
        <v>B19 - Tian Wanting</v>
      </c>
      <c r="G92" s="49" t="str">
        <f>VLOOKUP(A92,B组淘汰赛!A:H,5,FALSE)</f>
        <v>B20 - Feng Yaru</v>
      </c>
      <c r="H92" s="53">
        <f>VLOOKUP(A92,B组淘汰赛!A:H,6,FALSE)</f>
        <v>0</v>
      </c>
      <c r="I92" s="53">
        <f>VLOOKUP(A92,B组淘汰赛!A:H,7,FALSE)</f>
        <v>0</v>
      </c>
      <c r="M92" s="47"/>
    </row>
    <row r="93" spans="1:13" ht="15" x14ac:dyDescent="0.25">
      <c r="A93" s="6" t="s">
        <v>313</v>
      </c>
      <c r="B93" s="37" t="s">
        <v>342</v>
      </c>
      <c r="C93" s="48">
        <f>VLOOKUP(A93,B组淘汰赛!A:H,8,FALSE)</f>
        <v>6</v>
      </c>
      <c r="D93" s="49" t="str">
        <f>VLOOKUP(A93,B组淘汰赛!A:H,2,FALSE)</f>
        <v>B15 - 罗 野</v>
      </c>
      <c r="E93" s="49" t="str">
        <f>VLOOKUP(A93,B组淘汰赛!A:H,3,FALSE)</f>
        <v>B16 - Guo Sherry</v>
      </c>
      <c r="F93" s="49" t="str">
        <f>VLOOKUP(A93,B组淘汰赛!A:H,4,FALSE)</f>
        <v>B17 - 张 圣云</v>
      </c>
      <c r="G93" s="49" t="str">
        <f>VLOOKUP(A93,B组淘汰赛!A:H,5,FALSE)</f>
        <v>B18 - 彭 飞</v>
      </c>
      <c r="H93" s="53">
        <f>VLOOKUP(A93,B组淘汰赛!A:H,6,FALSE)</f>
        <v>0</v>
      </c>
      <c r="I93" s="53">
        <f>VLOOKUP(A93,B组淘汰赛!A:H,7,FALSE)</f>
        <v>0</v>
      </c>
      <c r="M93" s="47"/>
    </row>
    <row r="94" spans="1:13" ht="15" x14ac:dyDescent="0.25">
      <c r="A94" s="6" t="s">
        <v>315</v>
      </c>
      <c r="B94" s="37" t="s">
        <v>343</v>
      </c>
      <c r="C94" s="48">
        <f>VLOOKUP(A94,B组淘汰赛!A:H,8,FALSE)</f>
        <v>5</v>
      </c>
      <c r="D94" s="49" t="str">
        <f>VLOOKUP(A94,B组淘汰赛!A:H,2,FALSE)</f>
        <v>B1 - 张 卫明</v>
      </c>
      <c r="E94" s="49" t="str">
        <f>VLOOKUP(A94,B组淘汰赛!A:H,3,FALSE)</f>
        <v>B2 - Lu Dongmei</v>
      </c>
      <c r="F94" s="49" t="str">
        <f>VLOOKUP(A94,B组淘汰赛!A:H,4,FALSE)</f>
        <v/>
      </c>
      <c r="G94" s="49" t="str">
        <f>VLOOKUP(A94,B组淘汰赛!A:H,5,FALSE)</f>
        <v/>
      </c>
      <c r="H94" s="53">
        <f>VLOOKUP(A94,B组淘汰赛!A:H,6,FALSE)</f>
        <v>0</v>
      </c>
      <c r="I94" s="53">
        <f>VLOOKUP(A94,B组淘汰赛!A:H,7,FALSE)</f>
        <v>0</v>
      </c>
      <c r="M94" s="47"/>
    </row>
    <row r="95" spans="1:13" ht="15" x14ac:dyDescent="0.25">
      <c r="A95" s="6" t="s">
        <v>316</v>
      </c>
      <c r="B95" s="37" t="s">
        <v>343</v>
      </c>
      <c r="C95" s="48">
        <f>VLOOKUP(A95,B组淘汰赛!A:H,8,FALSE)</f>
        <v>6</v>
      </c>
      <c r="D95" s="49" t="str">
        <f>VLOOKUP(A95,B组淘汰赛!A:H,2,FALSE)</f>
        <v>B3 - Li Jingyan</v>
      </c>
      <c r="E95" s="49" t="str">
        <f>VLOOKUP(A95,B组淘汰赛!A:H,3,FALSE)</f>
        <v>B4 - 张 立诚</v>
      </c>
      <c r="F95" s="49" t="str">
        <f>VLOOKUP(A95,B组淘汰赛!A:H,4,FALSE)</f>
        <v/>
      </c>
      <c r="G95" s="49" t="str">
        <f>VLOOKUP(A95,B组淘汰赛!A:H,5,FALSE)</f>
        <v/>
      </c>
      <c r="H95" s="53">
        <f>VLOOKUP(A95,B组淘汰赛!A:H,6,FALSE)</f>
        <v>0</v>
      </c>
      <c r="I95" s="53">
        <f>VLOOKUP(A95,B组淘汰赛!A:H,7,FALSE)</f>
        <v>0</v>
      </c>
      <c r="M95" s="47"/>
    </row>
    <row r="96" spans="1:13" ht="15" x14ac:dyDescent="0.25">
      <c r="A96" s="6" t="s">
        <v>317</v>
      </c>
      <c r="B96" s="37" t="s">
        <v>343</v>
      </c>
      <c r="C96" s="48">
        <f>VLOOKUP(A96,B组淘汰赛!A:H,8,FALSE)</f>
        <v>1</v>
      </c>
      <c r="D96" s="49" t="str">
        <f>VLOOKUP(A96,B组淘汰赛!A:H,2,FALSE)</f>
        <v/>
      </c>
      <c r="E96" s="49" t="str">
        <f>VLOOKUP(A96,B组淘汰赛!A:H,3,FALSE)</f>
        <v/>
      </c>
      <c r="F96" s="49" t="str">
        <f>VLOOKUP(A96,B组淘汰赛!A:H,4,FALSE)</f>
        <v/>
      </c>
      <c r="G96" s="49" t="str">
        <f>VLOOKUP(A96,B组淘汰赛!A:H,5,FALSE)</f>
        <v/>
      </c>
      <c r="H96" s="53">
        <f>VLOOKUP(A96,B组淘汰赛!A:H,6,FALSE)</f>
        <v>0</v>
      </c>
      <c r="I96" s="53">
        <f>VLOOKUP(A96,B组淘汰赛!A:H,7,FALSE)</f>
        <v>0</v>
      </c>
      <c r="M96" s="47"/>
    </row>
    <row r="97" spans="1:13" ht="15" x14ac:dyDescent="0.25">
      <c r="A97" s="6" t="s">
        <v>318</v>
      </c>
      <c r="B97" s="37" t="s">
        <v>343</v>
      </c>
      <c r="C97" s="48">
        <f>VLOOKUP(A97,B组淘汰赛!A:H,8,FALSE)</f>
        <v>2</v>
      </c>
      <c r="D97" s="49" t="str">
        <f>VLOOKUP(A97,B组淘汰赛!A:H,2,FALSE)</f>
        <v/>
      </c>
      <c r="E97" s="49" t="str">
        <f>VLOOKUP(A97,B组淘汰赛!A:H,3,FALSE)</f>
        <v/>
      </c>
      <c r="F97" s="49" t="str">
        <f>VLOOKUP(A97,B组淘汰赛!A:H,4,FALSE)</f>
        <v/>
      </c>
      <c r="G97" s="49" t="str">
        <f>VLOOKUP(A97,B组淘汰赛!A:H,5,FALSE)</f>
        <v/>
      </c>
      <c r="H97" s="53">
        <f>VLOOKUP(A97,B组淘汰赛!A:H,6,FALSE)</f>
        <v>0</v>
      </c>
      <c r="I97" s="53">
        <f>VLOOKUP(A97,B组淘汰赛!A:H,7,FALSE)</f>
        <v>0</v>
      </c>
      <c r="M97" s="47"/>
    </row>
    <row r="98" spans="1:13" ht="15" x14ac:dyDescent="0.25">
      <c r="A98" s="6" t="s">
        <v>320</v>
      </c>
      <c r="B98" s="37" t="s">
        <v>344</v>
      </c>
      <c r="C98" s="48">
        <f>VLOOKUP(A98,B组淘汰赛!A:H,8,FALSE)</f>
        <v>5</v>
      </c>
      <c r="D98" s="49" t="str">
        <f>VLOOKUP(A98,B组淘汰赛!A:H,2,FALSE)</f>
        <v/>
      </c>
      <c r="E98" s="49" t="str">
        <f>VLOOKUP(A98,B组淘汰赛!A:H,3,FALSE)</f>
        <v/>
      </c>
      <c r="F98" s="49" t="str">
        <f>VLOOKUP(A98,B组淘汰赛!A:H,4,FALSE)</f>
        <v/>
      </c>
      <c r="G98" s="49" t="str">
        <f>VLOOKUP(A98,B组淘汰赛!A:H,5,FALSE)</f>
        <v/>
      </c>
      <c r="H98" s="53">
        <f>VLOOKUP(A98,B组淘汰赛!A:H,6,FALSE)</f>
        <v>0</v>
      </c>
      <c r="I98" s="53">
        <f>VLOOKUP(A98,B组淘汰赛!A:H,7,FALSE)</f>
        <v>0</v>
      </c>
      <c r="M98" s="47"/>
    </row>
    <row r="99" spans="1:13" ht="15" x14ac:dyDescent="0.25">
      <c r="A99" s="6" t="s">
        <v>321</v>
      </c>
      <c r="B99" s="37" t="s">
        <v>344</v>
      </c>
      <c r="C99" s="48">
        <f>VLOOKUP(A99,B组淘汰赛!A:H,8,FALSE)</f>
        <v>6</v>
      </c>
      <c r="D99" s="49" t="str">
        <f>VLOOKUP(A99,B组淘汰赛!A:H,2,FALSE)</f>
        <v/>
      </c>
      <c r="E99" s="49" t="str">
        <f>VLOOKUP(A99,B组淘汰赛!A:H,3,FALSE)</f>
        <v/>
      </c>
      <c r="F99" s="49" t="str">
        <f>VLOOKUP(A99,B组淘汰赛!A:H,4,FALSE)</f>
        <v/>
      </c>
      <c r="G99" s="49" t="str">
        <f>VLOOKUP(A99,B组淘汰赛!A:H,5,FALSE)</f>
        <v/>
      </c>
      <c r="H99" s="53">
        <f>VLOOKUP(A99,B组淘汰赛!A:H,6,FALSE)</f>
        <v>0</v>
      </c>
      <c r="I99" s="53">
        <f>VLOOKUP(A99,B组淘汰赛!A:H,7,FALSE)</f>
        <v>0</v>
      </c>
      <c r="M99" s="47"/>
    </row>
    <row r="100" spans="1:13" ht="15" x14ac:dyDescent="0.25">
      <c r="A100" s="6" t="s">
        <v>323</v>
      </c>
      <c r="B100" s="37" t="s">
        <v>345</v>
      </c>
      <c r="C100" s="48">
        <f>VLOOKUP(A100,B组淘汰赛!A:H,8,FALSE)</f>
        <v>0</v>
      </c>
      <c r="D100" s="49" t="str">
        <f>VLOOKUP(A100,B组淘汰赛!A:H,2,FALSE)</f>
        <v/>
      </c>
      <c r="E100" s="49" t="str">
        <f>VLOOKUP(A100,B组淘汰赛!A:H,3,FALSE)</f>
        <v/>
      </c>
      <c r="F100" s="49" t="str">
        <f>VLOOKUP(A100,B组淘汰赛!A:H,4,FALSE)</f>
        <v/>
      </c>
      <c r="G100" s="49" t="str">
        <f>VLOOKUP(A100,B组淘汰赛!A:H,5,FALSE)</f>
        <v/>
      </c>
      <c r="H100" s="53">
        <f>VLOOKUP(A100,B组淘汰赛!A:H,6,FALSE)</f>
        <v>0</v>
      </c>
      <c r="I100" s="53">
        <f>VLOOKUP(A100,B组淘汰赛!A:H,7,FALSE)</f>
        <v>0</v>
      </c>
      <c r="M100" s="47"/>
    </row>
    <row r="101" spans="1:13" ht="15" x14ac:dyDescent="0.25">
      <c r="A101" s="6" t="s">
        <v>325</v>
      </c>
      <c r="B101" s="37" t="s">
        <v>346</v>
      </c>
      <c r="C101" s="48">
        <f>VLOOKUP(A101,B组淘汰赛!A:H,8,FALSE)</f>
        <v>0</v>
      </c>
      <c r="D101" s="49" t="str">
        <f>VLOOKUP(A101,B组淘汰赛!A:H,2,FALSE)</f>
        <v/>
      </c>
      <c r="E101" s="49" t="str">
        <f>VLOOKUP(A101,B组淘汰赛!A:H,3,FALSE)</f>
        <v/>
      </c>
      <c r="F101" s="49" t="str">
        <f>VLOOKUP(A101,B组淘汰赛!A:H,4,FALSE)</f>
        <v/>
      </c>
      <c r="G101" s="49" t="str">
        <f>VLOOKUP(A101,B组淘汰赛!A:H,5,FALSE)</f>
        <v/>
      </c>
      <c r="H101" s="53">
        <f>VLOOKUP(A101,B组淘汰赛!A:H,6,FALSE)</f>
        <v>0</v>
      </c>
      <c r="I101" s="53">
        <f>VLOOKUP(A101,B组淘汰赛!A:H,7,FALSE)</f>
        <v>0</v>
      </c>
      <c r="M101" s="47"/>
    </row>
    <row r="102" spans="1:13" ht="12.75" x14ac:dyDescent="0.2">
      <c r="B102" s="50"/>
      <c r="M102" s="47"/>
    </row>
    <row r="103" spans="1:13" ht="12.75" x14ac:dyDescent="0.2">
      <c r="B103" s="50"/>
      <c r="M103" s="47"/>
    </row>
    <row r="104" spans="1:13" ht="12.75" x14ac:dyDescent="0.2">
      <c r="B104" s="50"/>
      <c r="M104" s="47"/>
    </row>
    <row r="105" spans="1:13" ht="12.75" x14ac:dyDescent="0.2">
      <c r="B105" s="50"/>
      <c r="M105" s="47"/>
    </row>
    <row r="106" spans="1:13" ht="12.75" x14ac:dyDescent="0.2">
      <c r="B106" s="50"/>
      <c r="M106" s="47"/>
    </row>
    <row r="107" spans="1:13" ht="12.75" x14ac:dyDescent="0.2">
      <c r="B107" s="50"/>
      <c r="M107" s="47"/>
    </row>
    <row r="108" spans="1:13" ht="12.75" x14ac:dyDescent="0.2">
      <c r="B108" s="50"/>
      <c r="M108" s="47"/>
    </row>
    <row r="109" spans="1:13" ht="12.75" x14ac:dyDescent="0.2">
      <c r="B109" s="50"/>
      <c r="M109" s="47"/>
    </row>
    <row r="110" spans="1:13" ht="12.75" x14ac:dyDescent="0.2">
      <c r="B110" s="50"/>
      <c r="M110" s="47"/>
    </row>
    <row r="111" spans="1:13" ht="12.75" x14ac:dyDescent="0.2">
      <c r="B111" s="50"/>
      <c r="M111" s="47"/>
    </row>
    <row r="112" spans="1:13" ht="12.75" x14ac:dyDescent="0.2">
      <c r="B112" s="50"/>
      <c r="M112" s="47"/>
    </row>
    <row r="113" spans="2:13" ht="12.75" x14ac:dyDescent="0.2">
      <c r="B113" s="50"/>
      <c r="M113" s="47"/>
    </row>
    <row r="114" spans="2:13" ht="12.75" x14ac:dyDescent="0.2">
      <c r="B114" s="50"/>
      <c r="M114" s="47"/>
    </row>
    <row r="115" spans="2:13" ht="12.75" x14ac:dyDescent="0.2">
      <c r="B115" s="50"/>
      <c r="M115" s="47"/>
    </row>
    <row r="116" spans="2:13" ht="12.75" x14ac:dyDescent="0.2">
      <c r="B116" s="50"/>
      <c r="M116" s="47"/>
    </row>
    <row r="117" spans="2:13" ht="12.75" x14ac:dyDescent="0.2">
      <c r="B117" s="50"/>
      <c r="M117" s="47"/>
    </row>
    <row r="118" spans="2:13" ht="12.75" x14ac:dyDescent="0.2">
      <c r="B118" s="50"/>
      <c r="M118" s="47"/>
    </row>
    <row r="119" spans="2:13" ht="12.75" x14ac:dyDescent="0.2">
      <c r="B119" s="50"/>
      <c r="M119" s="47"/>
    </row>
    <row r="120" spans="2:13" ht="12.75" x14ac:dyDescent="0.2">
      <c r="B120" s="50"/>
      <c r="M120" s="47"/>
    </row>
    <row r="121" spans="2:13" ht="12.75" x14ac:dyDescent="0.2">
      <c r="B121" s="50"/>
      <c r="M121" s="47"/>
    </row>
    <row r="122" spans="2:13" ht="12.75" x14ac:dyDescent="0.2">
      <c r="B122" s="50"/>
      <c r="M122" s="47"/>
    </row>
    <row r="123" spans="2:13" ht="12.75" x14ac:dyDescent="0.2">
      <c r="B123" s="50"/>
      <c r="M123" s="47"/>
    </row>
    <row r="124" spans="2:13" ht="12.75" x14ac:dyDescent="0.2">
      <c r="B124" s="50"/>
      <c r="M124" s="47"/>
    </row>
    <row r="125" spans="2:13" ht="12.75" x14ac:dyDescent="0.2">
      <c r="B125" s="50"/>
      <c r="M125" s="47"/>
    </row>
    <row r="126" spans="2:13" ht="12.75" x14ac:dyDescent="0.2">
      <c r="B126" s="50"/>
      <c r="M126" s="47"/>
    </row>
    <row r="127" spans="2:13" ht="12.75" x14ac:dyDescent="0.2">
      <c r="B127" s="50"/>
      <c r="M127" s="47"/>
    </row>
    <row r="128" spans="2:13" ht="12.75" x14ac:dyDescent="0.2">
      <c r="B128" s="50"/>
      <c r="M128" s="47"/>
    </row>
    <row r="129" spans="2:13" ht="12.75" x14ac:dyDescent="0.2">
      <c r="B129" s="50"/>
      <c r="M129" s="47"/>
    </row>
    <row r="130" spans="2:13" ht="12.75" x14ac:dyDescent="0.2">
      <c r="B130" s="50"/>
      <c r="M130" s="47"/>
    </row>
    <row r="131" spans="2:13" ht="12.75" x14ac:dyDescent="0.2">
      <c r="B131" s="50"/>
      <c r="M131" s="47"/>
    </row>
    <row r="132" spans="2:13" ht="12.75" x14ac:dyDescent="0.2">
      <c r="B132" s="50"/>
      <c r="M132" s="47"/>
    </row>
    <row r="133" spans="2:13" ht="12.75" x14ac:dyDescent="0.2">
      <c r="B133" s="50"/>
      <c r="M133" s="47"/>
    </row>
    <row r="134" spans="2:13" ht="12.75" x14ac:dyDescent="0.2">
      <c r="B134" s="50"/>
      <c r="M134" s="47"/>
    </row>
    <row r="135" spans="2:13" ht="12.75" x14ac:dyDescent="0.2">
      <c r="B135" s="50"/>
      <c r="M135" s="47"/>
    </row>
    <row r="136" spans="2:13" ht="12.75" x14ac:dyDescent="0.2">
      <c r="B136" s="50"/>
      <c r="M136" s="47"/>
    </row>
    <row r="137" spans="2:13" ht="12.75" x14ac:dyDescent="0.2">
      <c r="B137" s="50"/>
      <c r="M137" s="47"/>
    </row>
    <row r="138" spans="2:13" ht="12.75" x14ac:dyDescent="0.2">
      <c r="B138" s="50"/>
      <c r="M138" s="47"/>
    </row>
    <row r="139" spans="2:13" ht="12.75" x14ac:dyDescent="0.2">
      <c r="B139" s="50"/>
      <c r="M139" s="47"/>
    </row>
    <row r="140" spans="2:13" ht="12.75" x14ac:dyDescent="0.2">
      <c r="B140" s="50"/>
      <c r="M140" s="47"/>
    </row>
    <row r="141" spans="2:13" ht="12.75" x14ac:dyDescent="0.2">
      <c r="B141" s="50"/>
      <c r="M141" s="47"/>
    </row>
    <row r="142" spans="2:13" ht="12.75" x14ac:dyDescent="0.2">
      <c r="B142" s="50"/>
      <c r="M142" s="47"/>
    </row>
    <row r="143" spans="2:13" ht="12.75" x14ac:dyDescent="0.2">
      <c r="B143" s="50"/>
      <c r="M143" s="47"/>
    </row>
    <row r="144" spans="2:13" ht="12.75" x14ac:dyDescent="0.2">
      <c r="B144" s="50"/>
      <c r="M144" s="47"/>
    </row>
    <row r="145" spans="2:13" ht="12.75" x14ac:dyDescent="0.2">
      <c r="B145" s="50"/>
      <c r="M145" s="47"/>
    </row>
    <row r="146" spans="2:13" ht="12.75" x14ac:dyDescent="0.2">
      <c r="B146" s="50"/>
      <c r="M146" s="47"/>
    </row>
    <row r="147" spans="2:13" ht="12.75" x14ac:dyDescent="0.2">
      <c r="B147" s="50"/>
      <c r="M147" s="47"/>
    </row>
    <row r="148" spans="2:13" ht="12.75" x14ac:dyDescent="0.2">
      <c r="B148" s="50"/>
      <c r="M148" s="47"/>
    </row>
    <row r="149" spans="2:13" ht="12.75" x14ac:dyDescent="0.2">
      <c r="B149" s="50"/>
      <c r="M149" s="47"/>
    </row>
    <row r="150" spans="2:13" ht="12.75" x14ac:dyDescent="0.2">
      <c r="B150" s="50"/>
      <c r="M150" s="47"/>
    </row>
    <row r="151" spans="2:13" ht="12.75" x14ac:dyDescent="0.2">
      <c r="B151" s="50"/>
      <c r="M151" s="47"/>
    </row>
    <row r="152" spans="2:13" ht="12.75" x14ac:dyDescent="0.2">
      <c r="B152" s="50"/>
      <c r="M152" s="47"/>
    </row>
    <row r="153" spans="2:13" ht="12.75" x14ac:dyDescent="0.2">
      <c r="B153" s="50"/>
      <c r="M153" s="47"/>
    </row>
    <row r="154" spans="2:13" ht="12.75" x14ac:dyDescent="0.2">
      <c r="B154" s="50"/>
      <c r="M154" s="47"/>
    </row>
    <row r="155" spans="2:13" ht="12.75" x14ac:dyDescent="0.2">
      <c r="B155" s="50"/>
      <c r="M155" s="47"/>
    </row>
    <row r="156" spans="2:13" ht="12.75" x14ac:dyDescent="0.2">
      <c r="B156" s="50"/>
      <c r="M156" s="47"/>
    </row>
    <row r="157" spans="2:13" ht="12.75" x14ac:dyDescent="0.2">
      <c r="B157" s="50"/>
      <c r="M157" s="47"/>
    </row>
    <row r="158" spans="2:13" ht="12.75" x14ac:dyDescent="0.2">
      <c r="B158" s="50"/>
      <c r="M158" s="47"/>
    </row>
    <row r="159" spans="2:13" ht="12.75" x14ac:dyDescent="0.2">
      <c r="B159" s="50"/>
      <c r="M159" s="47"/>
    </row>
    <row r="160" spans="2:13" ht="12.75" x14ac:dyDescent="0.2">
      <c r="B160" s="50"/>
      <c r="M160" s="47"/>
    </row>
    <row r="161" spans="2:13" ht="12.75" x14ac:dyDescent="0.2">
      <c r="B161" s="50"/>
      <c r="M161" s="47"/>
    </row>
    <row r="162" spans="2:13" ht="12.75" x14ac:dyDescent="0.2">
      <c r="B162" s="50"/>
      <c r="M162" s="47"/>
    </row>
    <row r="163" spans="2:13" ht="12.75" x14ac:dyDescent="0.2">
      <c r="B163" s="50"/>
      <c r="M163" s="47"/>
    </row>
    <row r="164" spans="2:13" ht="12.75" x14ac:dyDescent="0.2">
      <c r="B164" s="50"/>
      <c r="M164" s="47"/>
    </row>
    <row r="165" spans="2:13" ht="12.75" x14ac:dyDescent="0.2">
      <c r="B165" s="50"/>
      <c r="M165" s="47"/>
    </row>
    <row r="166" spans="2:13" ht="12.75" x14ac:dyDescent="0.2">
      <c r="B166" s="50"/>
      <c r="M166" s="47"/>
    </row>
    <row r="167" spans="2:13" ht="12.75" x14ac:dyDescent="0.2">
      <c r="B167" s="50"/>
      <c r="M167" s="47"/>
    </row>
    <row r="168" spans="2:13" ht="12.75" x14ac:dyDescent="0.2">
      <c r="B168" s="50"/>
      <c r="M168" s="47"/>
    </row>
    <row r="169" spans="2:13" ht="12.75" x14ac:dyDescent="0.2">
      <c r="B169" s="50"/>
      <c r="M169" s="47"/>
    </row>
    <row r="170" spans="2:13" ht="12.75" x14ac:dyDescent="0.2">
      <c r="B170" s="50"/>
      <c r="M170" s="47"/>
    </row>
    <row r="171" spans="2:13" ht="12.75" x14ac:dyDescent="0.2">
      <c r="B171" s="50"/>
      <c r="M171" s="47"/>
    </row>
    <row r="172" spans="2:13" ht="12.75" x14ac:dyDescent="0.2">
      <c r="B172" s="50"/>
      <c r="M172" s="47"/>
    </row>
    <row r="173" spans="2:13" ht="12.75" x14ac:dyDescent="0.2">
      <c r="B173" s="50"/>
      <c r="M173" s="47"/>
    </row>
    <row r="174" spans="2:13" ht="12.75" x14ac:dyDescent="0.2">
      <c r="B174" s="50"/>
      <c r="M174" s="47"/>
    </row>
    <row r="175" spans="2:13" ht="12.75" x14ac:dyDescent="0.2">
      <c r="B175" s="50"/>
      <c r="M175" s="47"/>
    </row>
    <row r="176" spans="2:13" ht="12.75" x14ac:dyDescent="0.2">
      <c r="B176" s="50"/>
      <c r="M176" s="47"/>
    </row>
    <row r="177" spans="2:13" ht="12.75" x14ac:dyDescent="0.2">
      <c r="B177" s="50"/>
      <c r="M177" s="47"/>
    </row>
    <row r="178" spans="2:13" ht="12.75" x14ac:dyDescent="0.2">
      <c r="B178" s="50"/>
      <c r="M178" s="47"/>
    </row>
    <row r="179" spans="2:13" ht="12.75" x14ac:dyDescent="0.2">
      <c r="B179" s="50"/>
      <c r="M179" s="47"/>
    </row>
    <row r="180" spans="2:13" ht="12.75" x14ac:dyDescent="0.2">
      <c r="B180" s="50"/>
      <c r="M180" s="47"/>
    </row>
    <row r="181" spans="2:13" ht="12.75" x14ac:dyDescent="0.2">
      <c r="B181" s="50"/>
      <c r="M181" s="47"/>
    </row>
    <row r="182" spans="2:13" ht="12.75" x14ac:dyDescent="0.2">
      <c r="B182" s="50"/>
      <c r="M182" s="47"/>
    </row>
    <row r="183" spans="2:13" ht="12.75" x14ac:dyDescent="0.2">
      <c r="B183" s="50"/>
      <c r="M183" s="47"/>
    </row>
    <row r="184" spans="2:13" ht="12.75" x14ac:dyDescent="0.2">
      <c r="B184" s="50"/>
      <c r="M184" s="47"/>
    </row>
    <row r="185" spans="2:13" ht="12.75" x14ac:dyDescent="0.2">
      <c r="B185" s="50"/>
      <c r="M185" s="47"/>
    </row>
    <row r="186" spans="2:13" ht="12.75" x14ac:dyDescent="0.2">
      <c r="B186" s="50"/>
      <c r="M186" s="47"/>
    </row>
    <row r="187" spans="2:13" ht="12.75" x14ac:dyDescent="0.2">
      <c r="B187" s="50"/>
      <c r="M187" s="47"/>
    </row>
    <row r="188" spans="2:13" ht="12.75" x14ac:dyDescent="0.2">
      <c r="B188" s="50"/>
      <c r="M188" s="47"/>
    </row>
    <row r="189" spans="2:13" ht="12.75" x14ac:dyDescent="0.2">
      <c r="B189" s="50"/>
      <c r="M189" s="47"/>
    </row>
    <row r="190" spans="2:13" ht="12.75" x14ac:dyDescent="0.2">
      <c r="B190" s="50"/>
      <c r="M190" s="47"/>
    </row>
    <row r="191" spans="2:13" ht="12.75" x14ac:dyDescent="0.2">
      <c r="B191" s="50"/>
      <c r="M191" s="47"/>
    </row>
    <row r="192" spans="2:13" ht="12.75" x14ac:dyDescent="0.2">
      <c r="B192" s="50"/>
      <c r="M192" s="47"/>
    </row>
    <row r="193" spans="2:13" ht="12.75" x14ac:dyDescent="0.2">
      <c r="B193" s="50"/>
      <c r="M193" s="47"/>
    </row>
    <row r="194" spans="2:13" ht="12.75" x14ac:dyDescent="0.2">
      <c r="B194" s="50"/>
      <c r="M194" s="47"/>
    </row>
    <row r="195" spans="2:13" ht="12.75" x14ac:dyDescent="0.2">
      <c r="B195" s="50"/>
      <c r="M195" s="47"/>
    </row>
    <row r="196" spans="2:13" ht="12.75" x14ac:dyDescent="0.2">
      <c r="B196" s="50"/>
      <c r="M196" s="47"/>
    </row>
    <row r="197" spans="2:13" ht="12.75" x14ac:dyDescent="0.2">
      <c r="B197" s="50"/>
      <c r="M197" s="47"/>
    </row>
    <row r="198" spans="2:13" ht="12.75" x14ac:dyDescent="0.2">
      <c r="B198" s="50"/>
      <c r="M198" s="47"/>
    </row>
    <row r="199" spans="2:13" ht="12.75" x14ac:dyDescent="0.2">
      <c r="B199" s="50"/>
      <c r="M199" s="47"/>
    </row>
    <row r="200" spans="2:13" ht="12.75" x14ac:dyDescent="0.2">
      <c r="B200" s="50"/>
      <c r="M200" s="47"/>
    </row>
    <row r="201" spans="2:13" ht="12.75" x14ac:dyDescent="0.2">
      <c r="B201" s="50"/>
      <c r="M201" s="47"/>
    </row>
    <row r="202" spans="2:13" ht="12.75" x14ac:dyDescent="0.2">
      <c r="B202" s="50"/>
      <c r="M202" s="47"/>
    </row>
    <row r="203" spans="2:13" ht="12.75" x14ac:dyDescent="0.2">
      <c r="B203" s="50"/>
      <c r="M203" s="47"/>
    </row>
    <row r="204" spans="2:13" ht="12.75" x14ac:dyDescent="0.2">
      <c r="B204" s="50"/>
      <c r="M204" s="47"/>
    </row>
    <row r="205" spans="2:13" ht="12.75" x14ac:dyDescent="0.2">
      <c r="B205" s="50"/>
      <c r="M205" s="47"/>
    </row>
    <row r="206" spans="2:13" ht="12.75" x14ac:dyDescent="0.2">
      <c r="B206" s="50"/>
      <c r="M206" s="47"/>
    </row>
    <row r="207" spans="2:13" ht="12.75" x14ac:dyDescent="0.2">
      <c r="B207" s="50"/>
      <c r="M207" s="47"/>
    </row>
    <row r="208" spans="2:13" ht="12.75" x14ac:dyDescent="0.2">
      <c r="B208" s="50"/>
      <c r="M208" s="47"/>
    </row>
    <row r="209" spans="2:13" ht="12.75" x14ac:dyDescent="0.2">
      <c r="B209" s="50"/>
      <c r="M209" s="47"/>
    </row>
    <row r="210" spans="2:13" ht="12.75" x14ac:dyDescent="0.2">
      <c r="B210" s="50"/>
      <c r="M210" s="47"/>
    </row>
    <row r="211" spans="2:13" ht="12.75" x14ac:dyDescent="0.2">
      <c r="B211" s="50"/>
      <c r="M211" s="47"/>
    </row>
    <row r="212" spans="2:13" ht="12.75" x14ac:dyDescent="0.2">
      <c r="B212" s="50"/>
      <c r="M212" s="47"/>
    </row>
    <row r="213" spans="2:13" ht="12.75" x14ac:dyDescent="0.2">
      <c r="B213" s="50"/>
      <c r="M213" s="47"/>
    </row>
    <row r="214" spans="2:13" ht="12.75" x14ac:dyDescent="0.2">
      <c r="B214" s="50"/>
      <c r="M214" s="47"/>
    </row>
    <row r="215" spans="2:13" ht="12.75" x14ac:dyDescent="0.2">
      <c r="B215" s="50"/>
      <c r="M215" s="47"/>
    </row>
    <row r="216" spans="2:13" ht="12.75" x14ac:dyDescent="0.2">
      <c r="B216" s="50"/>
      <c r="M216" s="47"/>
    </row>
    <row r="217" spans="2:13" ht="12.75" x14ac:dyDescent="0.2">
      <c r="B217" s="50"/>
      <c r="M217" s="47"/>
    </row>
    <row r="218" spans="2:13" ht="12.75" x14ac:dyDescent="0.2">
      <c r="B218" s="50"/>
      <c r="M218" s="47"/>
    </row>
    <row r="219" spans="2:13" ht="12.75" x14ac:dyDescent="0.2">
      <c r="B219" s="50"/>
      <c r="M219" s="47"/>
    </row>
    <row r="220" spans="2:13" ht="12.75" x14ac:dyDescent="0.2">
      <c r="B220" s="50"/>
      <c r="M220" s="47"/>
    </row>
    <row r="221" spans="2:13" ht="12.75" x14ac:dyDescent="0.2">
      <c r="B221" s="50"/>
      <c r="M221" s="47"/>
    </row>
    <row r="222" spans="2:13" ht="12.75" x14ac:dyDescent="0.2">
      <c r="B222" s="50"/>
      <c r="M222" s="47"/>
    </row>
    <row r="223" spans="2:13" ht="12.75" x14ac:dyDescent="0.2">
      <c r="B223" s="50"/>
      <c r="M223" s="47"/>
    </row>
    <row r="224" spans="2:13" ht="12.75" x14ac:dyDescent="0.2">
      <c r="B224" s="51"/>
      <c r="M224" s="47"/>
    </row>
    <row r="225" spans="2:13" ht="12.75" x14ac:dyDescent="0.2">
      <c r="B225" s="51"/>
      <c r="M225" s="47"/>
    </row>
    <row r="226" spans="2:13" ht="12.75" x14ac:dyDescent="0.2">
      <c r="B226" s="51"/>
      <c r="M226" s="47"/>
    </row>
    <row r="227" spans="2:13" ht="12.75" x14ac:dyDescent="0.2">
      <c r="B227" s="51"/>
      <c r="M227" s="47"/>
    </row>
    <row r="228" spans="2:13" ht="12.75" x14ac:dyDescent="0.2">
      <c r="B228" s="51"/>
      <c r="M228" s="47"/>
    </row>
    <row r="229" spans="2:13" ht="12.75" x14ac:dyDescent="0.2">
      <c r="B229" s="51"/>
      <c r="M229" s="47"/>
    </row>
    <row r="230" spans="2:13" ht="12.75" x14ac:dyDescent="0.2">
      <c r="B230" s="51"/>
      <c r="M230" s="47"/>
    </row>
    <row r="231" spans="2:13" ht="12.75" x14ac:dyDescent="0.2">
      <c r="B231" s="51"/>
      <c r="M231" s="47"/>
    </row>
    <row r="232" spans="2:13" ht="12.75" x14ac:dyDescent="0.2">
      <c r="B232" s="51"/>
      <c r="M232" s="47"/>
    </row>
    <row r="233" spans="2:13" ht="12.75" x14ac:dyDescent="0.2">
      <c r="B233" s="51"/>
      <c r="M233" s="47"/>
    </row>
    <row r="234" spans="2:13" ht="12.75" x14ac:dyDescent="0.2">
      <c r="B234" s="51"/>
      <c r="M234" s="47"/>
    </row>
    <row r="235" spans="2:13" ht="12.75" x14ac:dyDescent="0.2">
      <c r="B235" s="51"/>
      <c r="M235" s="47"/>
    </row>
    <row r="236" spans="2:13" ht="12.75" x14ac:dyDescent="0.2">
      <c r="B236" s="51"/>
      <c r="M236" s="47"/>
    </row>
    <row r="237" spans="2:13" ht="12.75" x14ac:dyDescent="0.2">
      <c r="B237" s="51"/>
      <c r="M237" s="47"/>
    </row>
    <row r="238" spans="2:13" ht="12.75" x14ac:dyDescent="0.2">
      <c r="B238" s="51"/>
      <c r="M238" s="47"/>
    </row>
    <row r="239" spans="2:13" ht="12.75" x14ac:dyDescent="0.2">
      <c r="B239" s="51"/>
      <c r="M239" s="47"/>
    </row>
    <row r="240" spans="2:13" ht="12.75" x14ac:dyDescent="0.2">
      <c r="B240" s="51"/>
      <c r="M240" s="47"/>
    </row>
    <row r="241" spans="2:13" ht="12.75" x14ac:dyDescent="0.2">
      <c r="B241" s="51"/>
      <c r="M241" s="47"/>
    </row>
    <row r="242" spans="2:13" ht="12.75" x14ac:dyDescent="0.2">
      <c r="B242" s="51"/>
      <c r="M242" s="47"/>
    </row>
    <row r="243" spans="2:13" ht="12.75" x14ac:dyDescent="0.2">
      <c r="B243" s="51"/>
      <c r="M243" s="47"/>
    </row>
    <row r="244" spans="2:13" ht="12.75" x14ac:dyDescent="0.2">
      <c r="B244" s="51"/>
      <c r="M244" s="47"/>
    </row>
    <row r="245" spans="2:13" ht="12.75" x14ac:dyDescent="0.2">
      <c r="B245" s="51"/>
      <c r="M245" s="47"/>
    </row>
    <row r="246" spans="2:13" ht="12.75" x14ac:dyDescent="0.2">
      <c r="B246" s="51"/>
      <c r="M246" s="47"/>
    </row>
    <row r="247" spans="2:13" ht="12.75" x14ac:dyDescent="0.2">
      <c r="B247" s="51"/>
      <c r="M247" s="47"/>
    </row>
    <row r="248" spans="2:13" ht="12.75" x14ac:dyDescent="0.2">
      <c r="B248" s="51"/>
      <c r="M248" s="47"/>
    </row>
    <row r="249" spans="2:13" ht="12.75" x14ac:dyDescent="0.2">
      <c r="B249" s="51"/>
      <c r="M249" s="47"/>
    </row>
    <row r="250" spans="2:13" ht="12.75" x14ac:dyDescent="0.2">
      <c r="B250" s="51"/>
      <c r="M250" s="47"/>
    </row>
    <row r="251" spans="2:13" ht="12.75" x14ac:dyDescent="0.2">
      <c r="B251" s="51"/>
      <c r="M251" s="47"/>
    </row>
    <row r="252" spans="2:13" ht="12.75" x14ac:dyDescent="0.2">
      <c r="B252" s="51"/>
      <c r="M252" s="47"/>
    </row>
    <row r="253" spans="2:13" ht="12.75" x14ac:dyDescent="0.2">
      <c r="B253" s="51"/>
      <c r="M253" s="47"/>
    </row>
    <row r="254" spans="2:13" ht="12.75" x14ac:dyDescent="0.2">
      <c r="B254" s="51"/>
      <c r="M254" s="47"/>
    </row>
    <row r="255" spans="2:13" ht="12.75" x14ac:dyDescent="0.2">
      <c r="B255" s="51"/>
      <c r="M255" s="47"/>
    </row>
    <row r="256" spans="2:13" ht="12.75" x14ac:dyDescent="0.2">
      <c r="B256" s="51"/>
      <c r="M256" s="47"/>
    </row>
    <row r="257" spans="2:13" ht="12.75" x14ac:dyDescent="0.2">
      <c r="B257" s="51"/>
      <c r="M257" s="47"/>
    </row>
    <row r="258" spans="2:13" ht="12.75" x14ac:dyDescent="0.2">
      <c r="B258" s="51"/>
      <c r="M258" s="47"/>
    </row>
    <row r="259" spans="2:13" ht="12.75" x14ac:dyDescent="0.2">
      <c r="B259" s="51"/>
      <c r="M259" s="47"/>
    </row>
    <row r="260" spans="2:13" ht="12.75" x14ac:dyDescent="0.2">
      <c r="B260" s="51"/>
      <c r="M260" s="47"/>
    </row>
    <row r="261" spans="2:13" ht="12.75" x14ac:dyDescent="0.2">
      <c r="B261" s="51"/>
      <c r="M261" s="47"/>
    </row>
    <row r="262" spans="2:13" ht="12.75" x14ac:dyDescent="0.2">
      <c r="B262" s="51"/>
      <c r="M262" s="47"/>
    </row>
    <row r="263" spans="2:13" ht="12.75" x14ac:dyDescent="0.2">
      <c r="B263" s="51"/>
      <c r="M263" s="47"/>
    </row>
    <row r="264" spans="2:13" ht="12.75" x14ac:dyDescent="0.2">
      <c r="B264" s="51"/>
      <c r="M264" s="47"/>
    </row>
    <row r="265" spans="2:13" ht="12.75" x14ac:dyDescent="0.2">
      <c r="B265" s="51"/>
      <c r="M265" s="47"/>
    </row>
    <row r="266" spans="2:13" ht="12.75" x14ac:dyDescent="0.2">
      <c r="B266" s="51"/>
      <c r="M266" s="47"/>
    </row>
    <row r="267" spans="2:13" ht="12.75" x14ac:dyDescent="0.2">
      <c r="B267" s="51"/>
      <c r="M267" s="47"/>
    </row>
    <row r="268" spans="2:13" ht="12.75" x14ac:dyDescent="0.2">
      <c r="B268" s="51"/>
      <c r="M268" s="47"/>
    </row>
    <row r="269" spans="2:13" ht="12.75" x14ac:dyDescent="0.2">
      <c r="B269" s="51"/>
      <c r="M269" s="47"/>
    </row>
    <row r="270" spans="2:13" ht="12.75" x14ac:dyDescent="0.2">
      <c r="B270" s="51"/>
      <c r="M270" s="47"/>
    </row>
    <row r="271" spans="2:13" ht="12.75" x14ac:dyDescent="0.2">
      <c r="B271" s="51"/>
      <c r="M271" s="47"/>
    </row>
    <row r="272" spans="2:13" ht="12.75" x14ac:dyDescent="0.2">
      <c r="B272" s="51"/>
      <c r="M272" s="47"/>
    </row>
    <row r="273" spans="2:13" ht="12.75" x14ac:dyDescent="0.2">
      <c r="B273" s="51"/>
      <c r="M273" s="47"/>
    </row>
    <row r="274" spans="2:13" ht="12.75" x14ac:dyDescent="0.2">
      <c r="B274" s="51"/>
      <c r="M274" s="47"/>
    </row>
    <row r="275" spans="2:13" ht="12.75" x14ac:dyDescent="0.2">
      <c r="B275" s="51"/>
      <c r="M275" s="47"/>
    </row>
    <row r="276" spans="2:13" ht="12.75" x14ac:dyDescent="0.2">
      <c r="B276" s="51"/>
      <c r="M276" s="47"/>
    </row>
    <row r="277" spans="2:13" ht="12.75" x14ac:dyDescent="0.2">
      <c r="B277" s="51"/>
      <c r="M277" s="47"/>
    </row>
    <row r="278" spans="2:13" ht="12.75" x14ac:dyDescent="0.2">
      <c r="B278" s="51"/>
      <c r="M278" s="47"/>
    </row>
    <row r="279" spans="2:13" ht="12.75" x14ac:dyDescent="0.2">
      <c r="B279" s="51"/>
      <c r="M279" s="47"/>
    </row>
    <row r="280" spans="2:13" ht="12.75" x14ac:dyDescent="0.2">
      <c r="B280" s="51"/>
      <c r="M280" s="47"/>
    </row>
    <row r="281" spans="2:13" ht="12.75" x14ac:dyDescent="0.2">
      <c r="B281" s="51"/>
      <c r="M281" s="47"/>
    </row>
    <row r="282" spans="2:13" ht="12.75" x14ac:dyDescent="0.2">
      <c r="B282" s="51"/>
      <c r="M282" s="47"/>
    </row>
    <row r="283" spans="2:13" ht="12.75" x14ac:dyDescent="0.2">
      <c r="B283" s="51"/>
      <c r="M283" s="47"/>
    </row>
    <row r="284" spans="2:13" ht="12.75" x14ac:dyDescent="0.2">
      <c r="B284" s="51"/>
      <c r="M284" s="47"/>
    </row>
    <row r="285" spans="2:13" ht="12.75" x14ac:dyDescent="0.2">
      <c r="B285" s="51"/>
      <c r="M285" s="47"/>
    </row>
    <row r="286" spans="2:13" ht="12.75" x14ac:dyDescent="0.2">
      <c r="B286" s="51"/>
      <c r="M286" s="47"/>
    </row>
    <row r="287" spans="2:13" ht="12.75" x14ac:dyDescent="0.2">
      <c r="B287" s="51"/>
      <c r="M287" s="47"/>
    </row>
    <row r="288" spans="2:13" ht="12.75" x14ac:dyDescent="0.2">
      <c r="B288" s="51"/>
      <c r="M288" s="47"/>
    </row>
    <row r="289" spans="2:13" ht="12.75" x14ac:dyDescent="0.2">
      <c r="B289" s="51"/>
      <c r="M289" s="47"/>
    </row>
    <row r="290" spans="2:13" ht="12.75" x14ac:dyDescent="0.2">
      <c r="B290" s="51"/>
      <c r="M290" s="47"/>
    </row>
    <row r="291" spans="2:13" ht="12.75" x14ac:dyDescent="0.2">
      <c r="B291" s="51"/>
      <c r="M291" s="47"/>
    </row>
    <row r="292" spans="2:13" ht="12.75" x14ac:dyDescent="0.2">
      <c r="B292" s="51"/>
      <c r="M292" s="47"/>
    </row>
    <row r="293" spans="2:13" ht="12.75" x14ac:dyDescent="0.2">
      <c r="B293" s="51"/>
      <c r="M293" s="47"/>
    </row>
    <row r="294" spans="2:13" ht="12.75" x14ac:dyDescent="0.2">
      <c r="B294" s="51"/>
      <c r="M294" s="47"/>
    </row>
    <row r="295" spans="2:13" ht="12.75" x14ac:dyDescent="0.2">
      <c r="B295" s="51"/>
      <c r="M295" s="47"/>
    </row>
    <row r="296" spans="2:13" ht="12.75" x14ac:dyDescent="0.2">
      <c r="B296" s="51"/>
      <c r="M296" s="47"/>
    </row>
    <row r="297" spans="2:13" ht="12.75" x14ac:dyDescent="0.2">
      <c r="B297" s="51"/>
      <c r="M297" s="47"/>
    </row>
    <row r="298" spans="2:13" ht="12.75" x14ac:dyDescent="0.2">
      <c r="B298" s="51"/>
      <c r="M298" s="47"/>
    </row>
    <row r="299" spans="2:13" ht="12.75" x14ac:dyDescent="0.2">
      <c r="B299" s="51"/>
      <c r="M299" s="47"/>
    </row>
    <row r="300" spans="2:13" ht="12.75" x14ac:dyDescent="0.2">
      <c r="B300" s="51"/>
      <c r="M300" s="47"/>
    </row>
    <row r="301" spans="2:13" ht="12.75" x14ac:dyDescent="0.2">
      <c r="B301" s="51"/>
      <c r="M301" s="47"/>
    </row>
    <row r="302" spans="2:13" ht="12.75" x14ac:dyDescent="0.2">
      <c r="B302" s="51"/>
      <c r="M302" s="47"/>
    </row>
    <row r="303" spans="2:13" ht="12.75" x14ac:dyDescent="0.2">
      <c r="B303" s="51"/>
      <c r="M303" s="47"/>
    </row>
    <row r="304" spans="2:13" ht="12.75" x14ac:dyDescent="0.2">
      <c r="B304" s="51"/>
      <c r="M304" s="47"/>
    </row>
    <row r="305" spans="2:13" ht="12.75" x14ac:dyDescent="0.2">
      <c r="B305" s="51"/>
      <c r="M305" s="47"/>
    </row>
    <row r="306" spans="2:13" ht="12.75" x14ac:dyDescent="0.2">
      <c r="B306" s="51"/>
      <c r="M306" s="47"/>
    </row>
    <row r="307" spans="2:13" ht="12.75" x14ac:dyDescent="0.2">
      <c r="B307" s="51"/>
      <c r="M307" s="47"/>
    </row>
    <row r="308" spans="2:13" ht="12.75" x14ac:dyDescent="0.2">
      <c r="B308" s="51"/>
      <c r="M308" s="47"/>
    </row>
    <row r="309" spans="2:13" ht="12.75" x14ac:dyDescent="0.2">
      <c r="B309" s="51"/>
      <c r="M309" s="47"/>
    </row>
    <row r="310" spans="2:13" ht="12.75" x14ac:dyDescent="0.2">
      <c r="B310" s="51"/>
      <c r="M310" s="47"/>
    </row>
    <row r="311" spans="2:13" ht="12.75" x14ac:dyDescent="0.2">
      <c r="B311" s="51"/>
      <c r="M311" s="47"/>
    </row>
    <row r="312" spans="2:13" ht="12.75" x14ac:dyDescent="0.2">
      <c r="B312" s="51"/>
      <c r="M312" s="47"/>
    </row>
    <row r="313" spans="2:13" ht="12.75" x14ac:dyDescent="0.2">
      <c r="B313" s="51"/>
      <c r="M313" s="47"/>
    </row>
    <row r="314" spans="2:13" ht="12.75" x14ac:dyDescent="0.2">
      <c r="B314" s="51"/>
      <c r="M314" s="47"/>
    </row>
    <row r="315" spans="2:13" ht="12.75" x14ac:dyDescent="0.2">
      <c r="B315" s="51"/>
      <c r="M315" s="47"/>
    </row>
    <row r="316" spans="2:13" ht="12.75" x14ac:dyDescent="0.2">
      <c r="B316" s="51"/>
      <c r="M316" s="47"/>
    </row>
    <row r="317" spans="2:13" ht="12.75" x14ac:dyDescent="0.2">
      <c r="B317" s="51"/>
      <c r="M317" s="47"/>
    </row>
    <row r="318" spans="2:13" ht="12.75" x14ac:dyDescent="0.2">
      <c r="B318" s="51"/>
      <c r="M318" s="47"/>
    </row>
    <row r="319" spans="2:13" ht="12.75" x14ac:dyDescent="0.2">
      <c r="B319" s="51"/>
      <c r="M319" s="47"/>
    </row>
    <row r="320" spans="2:13" ht="12.75" x14ac:dyDescent="0.2">
      <c r="B320" s="51"/>
      <c r="M320" s="47"/>
    </row>
    <row r="321" spans="2:13" ht="12.75" x14ac:dyDescent="0.2">
      <c r="B321" s="51"/>
      <c r="M321" s="47"/>
    </row>
    <row r="322" spans="2:13" ht="12.75" x14ac:dyDescent="0.2">
      <c r="B322" s="51"/>
      <c r="M322" s="47"/>
    </row>
    <row r="323" spans="2:13" ht="12.75" x14ac:dyDescent="0.2">
      <c r="B323" s="51"/>
      <c r="M323" s="47"/>
    </row>
    <row r="324" spans="2:13" ht="12.75" x14ac:dyDescent="0.2">
      <c r="B324" s="51"/>
      <c r="M324" s="47"/>
    </row>
    <row r="325" spans="2:13" ht="12.75" x14ac:dyDescent="0.2">
      <c r="B325" s="51"/>
      <c r="M325" s="47"/>
    </row>
    <row r="326" spans="2:13" ht="12.75" x14ac:dyDescent="0.2">
      <c r="B326" s="51"/>
      <c r="M326" s="47"/>
    </row>
    <row r="327" spans="2:13" ht="12.75" x14ac:dyDescent="0.2">
      <c r="B327" s="51"/>
      <c r="M327" s="47"/>
    </row>
    <row r="328" spans="2:13" ht="12.75" x14ac:dyDescent="0.2">
      <c r="B328" s="51"/>
      <c r="M328" s="47"/>
    </row>
    <row r="329" spans="2:13" ht="12.75" x14ac:dyDescent="0.2">
      <c r="B329" s="51"/>
      <c r="M329" s="47"/>
    </row>
    <row r="330" spans="2:13" ht="12.75" x14ac:dyDescent="0.2">
      <c r="B330" s="51"/>
      <c r="M330" s="47"/>
    </row>
    <row r="331" spans="2:13" ht="12.75" x14ac:dyDescent="0.2">
      <c r="B331" s="51"/>
      <c r="M331" s="47"/>
    </row>
    <row r="332" spans="2:13" ht="12.75" x14ac:dyDescent="0.2">
      <c r="B332" s="51"/>
      <c r="M332" s="47"/>
    </row>
    <row r="333" spans="2:13" ht="12.75" x14ac:dyDescent="0.2">
      <c r="B333" s="51"/>
      <c r="M333" s="47"/>
    </row>
    <row r="334" spans="2:13" ht="12.75" x14ac:dyDescent="0.2">
      <c r="B334" s="51"/>
      <c r="M334" s="47"/>
    </row>
    <row r="335" spans="2:13" ht="12.75" x14ac:dyDescent="0.2">
      <c r="B335" s="51"/>
      <c r="M335" s="47"/>
    </row>
    <row r="336" spans="2:13" ht="12.75" x14ac:dyDescent="0.2">
      <c r="B336" s="51"/>
      <c r="M336" s="47"/>
    </row>
    <row r="337" spans="2:13" ht="12.75" x14ac:dyDescent="0.2">
      <c r="B337" s="51"/>
      <c r="M337" s="47"/>
    </row>
    <row r="338" spans="2:13" ht="12.75" x14ac:dyDescent="0.2">
      <c r="B338" s="51"/>
      <c r="M338" s="47"/>
    </row>
    <row r="339" spans="2:13" ht="12.75" x14ac:dyDescent="0.2">
      <c r="B339" s="51"/>
      <c r="M339" s="47"/>
    </row>
    <row r="340" spans="2:13" ht="12.75" x14ac:dyDescent="0.2">
      <c r="B340" s="51"/>
      <c r="M340" s="47"/>
    </row>
    <row r="341" spans="2:13" ht="12.75" x14ac:dyDescent="0.2">
      <c r="B341" s="51"/>
      <c r="M341" s="47"/>
    </row>
    <row r="342" spans="2:13" ht="12.75" x14ac:dyDescent="0.2">
      <c r="B342" s="51"/>
      <c r="M342" s="47"/>
    </row>
    <row r="343" spans="2:13" ht="12.75" x14ac:dyDescent="0.2">
      <c r="B343" s="51"/>
      <c r="M343" s="47"/>
    </row>
    <row r="344" spans="2:13" ht="12.75" x14ac:dyDescent="0.2">
      <c r="B344" s="51"/>
      <c r="M344" s="47"/>
    </row>
    <row r="345" spans="2:13" ht="12.75" x14ac:dyDescent="0.2">
      <c r="B345" s="51"/>
      <c r="M345" s="47"/>
    </row>
    <row r="346" spans="2:13" ht="12.75" x14ac:dyDescent="0.2">
      <c r="B346" s="51"/>
      <c r="M346" s="47"/>
    </row>
    <row r="347" spans="2:13" ht="12.75" x14ac:dyDescent="0.2">
      <c r="B347" s="51"/>
      <c r="M347" s="47"/>
    </row>
    <row r="348" spans="2:13" ht="12.75" x14ac:dyDescent="0.2">
      <c r="B348" s="51"/>
      <c r="M348" s="47"/>
    </row>
    <row r="349" spans="2:13" ht="12.75" x14ac:dyDescent="0.2">
      <c r="B349" s="51"/>
      <c r="M349" s="47"/>
    </row>
    <row r="350" spans="2:13" ht="12.75" x14ac:dyDescent="0.2">
      <c r="B350" s="51"/>
      <c r="M350" s="47"/>
    </row>
    <row r="351" spans="2:13" ht="12.75" x14ac:dyDescent="0.2">
      <c r="B351" s="51"/>
      <c r="M351" s="47"/>
    </row>
    <row r="352" spans="2:13" ht="12.75" x14ac:dyDescent="0.2">
      <c r="B352" s="51"/>
      <c r="M352" s="47"/>
    </row>
    <row r="353" spans="2:13" ht="12.75" x14ac:dyDescent="0.2">
      <c r="B353" s="51"/>
      <c r="M353" s="47"/>
    </row>
    <row r="354" spans="2:13" ht="12.75" x14ac:dyDescent="0.2">
      <c r="B354" s="51"/>
      <c r="M354" s="47"/>
    </row>
    <row r="355" spans="2:13" ht="12.75" x14ac:dyDescent="0.2">
      <c r="B355" s="51"/>
      <c r="M355" s="47"/>
    </row>
    <row r="356" spans="2:13" ht="12.75" x14ac:dyDescent="0.2">
      <c r="B356" s="51"/>
      <c r="M356" s="47"/>
    </row>
    <row r="357" spans="2:13" ht="12.75" x14ac:dyDescent="0.2">
      <c r="B357" s="51"/>
      <c r="M357" s="47"/>
    </row>
    <row r="358" spans="2:13" ht="12.75" x14ac:dyDescent="0.2">
      <c r="B358" s="51"/>
      <c r="M358" s="47"/>
    </row>
    <row r="359" spans="2:13" ht="12.75" x14ac:dyDescent="0.2">
      <c r="B359" s="51"/>
      <c r="M359" s="47"/>
    </row>
    <row r="360" spans="2:13" ht="12.75" x14ac:dyDescent="0.2">
      <c r="B360" s="51"/>
      <c r="M360" s="47"/>
    </row>
    <row r="361" spans="2:13" ht="12.75" x14ac:dyDescent="0.2">
      <c r="B361" s="51"/>
      <c r="M361" s="47"/>
    </row>
    <row r="362" spans="2:13" ht="12.75" x14ac:dyDescent="0.2">
      <c r="B362" s="51"/>
      <c r="M362" s="47"/>
    </row>
    <row r="363" spans="2:13" ht="12.75" x14ac:dyDescent="0.2">
      <c r="B363" s="51"/>
      <c r="M363" s="47"/>
    </row>
    <row r="364" spans="2:13" ht="12.75" x14ac:dyDescent="0.2">
      <c r="B364" s="51"/>
      <c r="M364" s="47"/>
    </row>
    <row r="365" spans="2:13" ht="12.75" x14ac:dyDescent="0.2">
      <c r="B365" s="51"/>
      <c r="M365" s="47"/>
    </row>
    <row r="366" spans="2:13" ht="12.75" x14ac:dyDescent="0.2">
      <c r="B366" s="51"/>
      <c r="M366" s="47"/>
    </row>
    <row r="367" spans="2:13" ht="12.75" x14ac:dyDescent="0.2">
      <c r="B367" s="51"/>
      <c r="M367" s="47"/>
    </row>
    <row r="368" spans="2:13" ht="12.75" x14ac:dyDescent="0.2">
      <c r="B368" s="51"/>
      <c r="M368" s="47"/>
    </row>
    <row r="369" spans="2:13" ht="12.75" x14ac:dyDescent="0.2">
      <c r="B369" s="51"/>
      <c r="M369" s="47"/>
    </row>
    <row r="370" spans="2:13" ht="12.75" x14ac:dyDescent="0.2">
      <c r="B370" s="51"/>
      <c r="M370" s="47"/>
    </row>
    <row r="371" spans="2:13" ht="12.75" x14ac:dyDescent="0.2">
      <c r="B371" s="51"/>
      <c r="M371" s="47"/>
    </row>
    <row r="372" spans="2:13" ht="12.75" x14ac:dyDescent="0.2">
      <c r="B372" s="51"/>
      <c r="M372" s="47"/>
    </row>
    <row r="373" spans="2:13" ht="12.75" x14ac:dyDescent="0.2">
      <c r="B373" s="51"/>
      <c r="M373" s="47"/>
    </row>
    <row r="374" spans="2:13" ht="12.75" x14ac:dyDescent="0.2">
      <c r="B374" s="51"/>
      <c r="M374" s="47"/>
    </row>
    <row r="375" spans="2:13" ht="12.75" x14ac:dyDescent="0.2">
      <c r="B375" s="51"/>
      <c r="M375" s="47"/>
    </row>
    <row r="376" spans="2:13" ht="12.75" x14ac:dyDescent="0.2">
      <c r="B376" s="51"/>
      <c r="M376" s="47"/>
    </row>
    <row r="377" spans="2:13" ht="12.75" x14ac:dyDescent="0.2">
      <c r="B377" s="51"/>
      <c r="M377" s="47"/>
    </row>
    <row r="378" spans="2:13" ht="12.75" x14ac:dyDescent="0.2">
      <c r="B378" s="51"/>
      <c r="M378" s="47"/>
    </row>
    <row r="379" spans="2:13" ht="12.75" x14ac:dyDescent="0.2">
      <c r="B379" s="51"/>
      <c r="M379" s="47"/>
    </row>
    <row r="380" spans="2:13" ht="12.75" x14ac:dyDescent="0.2">
      <c r="B380" s="51"/>
      <c r="M380" s="47"/>
    </row>
    <row r="381" spans="2:13" ht="12.75" x14ac:dyDescent="0.2">
      <c r="B381" s="51"/>
      <c r="M381" s="47"/>
    </row>
    <row r="382" spans="2:13" ht="12.75" x14ac:dyDescent="0.2">
      <c r="B382" s="51"/>
      <c r="M382" s="47"/>
    </row>
    <row r="383" spans="2:13" ht="12.75" x14ac:dyDescent="0.2">
      <c r="B383" s="51"/>
      <c r="M383" s="47"/>
    </row>
    <row r="384" spans="2:13" ht="12.75" x14ac:dyDescent="0.2">
      <c r="B384" s="51"/>
      <c r="M384" s="47"/>
    </row>
    <row r="385" spans="2:13" ht="12.75" x14ac:dyDescent="0.2">
      <c r="B385" s="51"/>
      <c r="M385" s="47"/>
    </row>
    <row r="386" spans="2:13" ht="12.75" x14ac:dyDescent="0.2">
      <c r="B386" s="51"/>
      <c r="M386" s="47"/>
    </row>
    <row r="387" spans="2:13" ht="12.75" x14ac:dyDescent="0.2">
      <c r="B387" s="51"/>
      <c r="M387" s="47"/>
    </row>
    <row r="388" spans="2:13" ht="12.75" x14ac:dyDescent="0.2">
      <c r="B388" s="51"/>
      <c r="M388" s="47"/>
    </row>
    <row r="389" spans="2:13" ht="12.75" x14ac:dyDescent="0.2">
      <c r="B389" s="51"/>
      <c r="M389" s="47"/>
    </row>
    <row r="390" spans="2:13" ht="12.75" x14ac:dyDescent="0.2">
      <c r="B390" s="51"/>
      <c r="M390" s="47"/>
    </row>
    <row r="391" spans="2:13" ht="12.75" x14ac:dyDescent="0.2">
      <c r="B391" s="51"/>
      <c r="M391" s="47"/>
    </row>
    <row r="392" spans="2:13" ht="12.75" x14ac:dyDescent="0.2">
      <c r="B392" s="51"/>
      <c r="M392" s="47"/>
    </row>
    <row r="393" spans="2:13" ht="12.75" x14ac:dyDescent="0.2">
      <c r="B393" s="51"/>
      <c r="M393" s="47"/>
    </row>
    <row r="394" spans="2:13" ht="12.75" x14ac:dyDescent="0.2">
      <c r="B394" s="51"/>
      <c r="M394" s="47"/>
    </row>
    <row r="395" spans="2:13" ht="12.75" x14ac:dyDescent="0.2">
      <c r="B395" s="51"/>
      <c r="M395" s="47"/>
    </row>
    <row r="396" spans="2:13" ht="12.75" x14ac:dyDescent="0.2">
      <c r="B396" s="51"/>
      <c r="M396" s="47"/>
    </row>
    <row r="397" spans="2:13" ht="12.75" x14ac:dyDescent="0.2">
      <c r="B397" s="51"/>
      <c r="M397" s="47"/>
    </row>
    <row r="398" spans="2:13" ht="12.75" x14ac:dyDescent="0.2">
      <c r="B398" s="51"/>
      <c r="M398" s="47"/>
    </row>
    <row r="399" spans="2:13" ht="12.75" x14ac:dyDescent="0.2">
      <c r="B399" s="51"/>
      <c r="M399" s="47"/>
    </row>
    <row r="400" spans="2:13" ht="12.75" x14ac:dyDescent="0.2">
      <c r="B400" s="51"/>
      <c r="M400" s="47"/>
    </row>
    <row r="401" spans="2:13" ht="12.75" x14ac:dyDescent="0.2">
      <c r="B401" s="51"/>
      <c r="M401" s="47"/>
    </row>
    <row r="402" spans="2:13" ht="12.75" x14ac:dyDescent="0.2">
      <c r="B402" s="51"/>
      <c r="M402" s="47"/>
    </row>
    <row r="403" spans="2:13" ht="12.75" x14ac:dyDescent="0.2">
      <c r="B403" s="51"/>
      <c r="M403" s="47"/>
    </row>
    <row r="404" spans="2:13" ht="12.75" x14ac:dyDescent="0.2">
      <c r="B404" s="51"/>
      <c r="M404" s="47"/>
    </row>
    <row r="405" spans="2:13" ht="12.75" x14ac:dyDescent="0.2">
      <c r="B405" s="51"/>
      <c r="M405" s="47"/>
    </row>
    <row r="406" spans="2:13" ht="12.75" x14ac:dyDescent="0.2">
      <c r="B406" s="51"/>
      <c r="M406" s="47"/>
    </row>
    <row r="407" spans="2:13" ht="12.75" x14ac:dyDescent="0.2">
      <c r="B407" s="51"/>
      <c r="M407" s="47"/>
    </row>
    <row r="408" spans="2:13" ht="12.75" x14ac:dyDescent="0.2">
      <c r="B408" s="51"/>
      <c r="M408" s="47"/>
    </row>
    <row r="409" spans="2:13" ht="12.75" x14ac:dyDescent="0.2">
      <c r="B409" s="51"/>
      <c r="M409" s="47"/>
    </row>
    <row r="410" spans="2:13" ht="12.75" x14ac:dyDescent="0.2">
      <c r="B410" s="51"/>
      <c r="M410" s="47"/>
    </row>
    <row r="411" spans="2:13" ht="12.75" x14ac:dyDescent="0.2">
      <c r="B411" s="51"/>
      <c r="M411" s="47"/>
    </row>
    <row r="412" spans="2:13" ht="12.75" x14ac:dyDescent="0.2">
      <c r="B412" s="51"/>
      <c r="M412" s="47"/>
    </row>
    <row r="413" spans="2:13" ht="12.75" x14ac:dyDescent="0.2">
      <c r="B413" s="51"/>
      <c r="M413" s="47"/>
    </row>
    <row r="414" spans="2:13" ht="12.75" x14ac:dyDescent="0.2">
      <c r="B414" s="51"/>
      <c r="M414" s="47"/>
    </row>
    <row r="415" spans="2:13" ht="12.75" x14ac:dyDescent="0.2">
      <c r="B415" s="51"/>
      <c r="M415" s="47"/>
    </row>
    <row r="416" spans="2:13" ht="12.75" x14ac:dyDescent="0.2">
      <c r="B416" s="51"/>
      <c r="M416" s="47"/>
    </row>
    <row r="417" spans="2:13" ht="12.75" x14ac:dyDescent="0.2">
      <c r="B417" s="51"/>
      <c r="M417" s="47"/>
    </row>
    <row r="418" spans="2:13" ht="12.75" x14ac:dyDescent="0.2">
      <c r="B418" s="51"/>
      <c r="M418" s="47"/>
    </row>
    <row r="419" spans="2:13" ht="12.75" x14ac:dyDescent="0.2">
      <c r="B419" s="51"/>
      <c r="M419" s="47"/>
    </row>
    <row r="420" spans="2:13" ht="12.75" x14ac:dyDescent="0.2">
      <c r="B420" s="51"/>
      <c r="M420" s="47"/>
    </row>
    <row r="421" spans="2:13" ht="12.75" x14ac:dyDescent="0.2">
      <c r="B421" s="51"/>
      <c r="M421" s="47"/>
    </row>
    <row r="422" spans="2:13" ht="12.75" x14ac:dyDescent="0.2">
      <c r="B422" s="51"/>
      <c r="M422" s="47"/>
    </row>
    <row r="423" spans="2:13" ht="12.75" x14ac:dyDescent="0.2">
      <c r="B423" s="51"/>
      <c r="M423" s="47"/>
    </row>
    <row r="424" spans="2:13" ht="12.75" x14ac:dyDescent="0.2">
      <c r="B424" s="51"/>
      <c r="M424" s="47"/>
    </row>
    <row r="425" spans="2:13" ht="12.75" x14ac:dyDescent="0.2">
      <c r="B425" s="51"/>
      <c r="M425" s="47"/>
    </row>
    <row r="426" spans="2:13" ht="12.75" x14ac:dyDescent="0.2">
      <c r="B426" s="51"/>
      <c r="M426" s="47"/>
    </row>
    <row r="427" spans="2:13" ht="12.75" x14ac:dyDescent="0.2">
      <c r="B427" s="51"/>
      <c r="M427" s="47"/>
    </row>
    <row r="428" spans="2:13" ht="12.75" x14ac:dyDescent="0.2">
      <c r="B428" s="51"/>
      <c r="M428" s="47"/>
    </row>
    <row r="429" spans="2:13" ht="12.75" x14ac:dyDescent="0.2">
      <c r="B429" s="51"/>
      <c r="M429" s="47"/>
    </row>
    <row r="430" spans="2:13" ht="12.75" x14ac:dyDescent="0.2">
      <c r="B430" s="51"/>
      <c r="M430" s="47"/>
    </row>
    <row r="431" spans="2:13" ht="12.75" x14ac:dyDescent="0.2">
      <c r="B431" s="51"/>
      <c r="M431" s="47"/>
    </row>
    <row r="432" spans="2:13" ht="12.75" x14ac:dyDescent="0.2">
      <c r="B432" s="51"/>
      <c r="M432" s="47"/>
    </row>
    <row r="433" spans="2:13" ht="12.75" x14ac:dyDescent="0.2">
      <c r="B433" s="51"/>
      <c r="M433" s="47"/>
    </row>
    <row r="434" spans="2:13" ht="12.75" x14ac:dyDescent="0.2">
      <c r="B434" s="51"/>
      <c r="M434" s="47"/>
    </row>
    <row r="435" spans="2:13" ht="12.75" x14ac:dyDescent="0.2">
      <c r="B435" s="51"/>
      <c r="M435" s="47"/>
    </row>
    <row r="436" spans="2:13" ht="12.75" x14ac:dyDescent="0.2">
      <c r="B436" s="51"/>
      <c r="M436" s="47"/>
    </row>
    <row r="437" spans="2:13" ht="12.75" x14ac:dyDescent="0.2">
      <c r="B437" s="51"/>
      <c r="M437" s="47"/>
    </row>
    <row r="438" spans="2:13" ht="12.75" x14ac:dyDescent="0.2">
      <c r="B438" s="51"/>
      <c r="M438" s="47"/>
    </row>
    <row r="439" spans="2:13" ht="12.75" x14ac:dyDescent="0.2">
      <c r="B439" s="51"/>
      <c r="M439" s="47"/>
    </row>
    <row r="440" spans="2:13" ht="12.75" x14ac:dyDescent="0.2">
      <c r="B440" s="51"/>
      <c r="M440" s="47"/>
    </row>
    <row r="441" spans="2:13" ht="12.75" x14ac:dyDescent="0.2">
      <c r="B441" s="51"/>
      <c r="M441" s="47"/>
    </row>
    <row r="442" spans="2:13" ht="12.75" x14ac:dyDescent="0.2">
      <c r="B442" s="51"/>
      <c r="M442" s="47"/>
    </row>
    <row r="443" spans="2:13" ht="12.75" x14ac:dyDescent="0.2">
      <c r="B443" s="51"/>
      <c r="M443" s="47"/>
    </row>
    <row r="444" spans="2:13" ht="12.75" x14ac:dyDescent="0.2">
      <c r="B444" s="51"/>
      <c r="M444" s="47"/>
    </row>
    <row r="445" spans="2:13" ht="12.75" x14ac:dyDescent="0.2">
      <c r="B445" s="51"/>
      <c r="M445" s="47"/>
    </row>
    <row r="446" spans="2:13" ht="12.75" x14ac:dyDescent="0.2">
      <c r="B446" s="51"/>
      <c r="M446" s="47"/>
    </row>
    <row r="447" spans="2:13" ht="12.75" x14ac:dyDescent="0.2">
      <c r="B447" s="51"/>
      <c r="M447" s="47"/>
    </row>
    <row r="448" spans="2:13" ht="12.75" x14ac:dyDescent="0.2">
      <c r="B448" s="51"/>
      <c r="M448" s="47"/>
    </row>
    <row r="449" spans="2:13" ht="12.75" x14ac:dyDescent="0.2">
      <c r="B449" s="51"/>
      <c r="M449" s="47"/>
    </row>
    <row r="450" spans="2:13" ht="12.75" x14ac:dyDescent="0.2">
      <c r="B450" s="51"/>
      <c r="M450" s="47"/>
    </row>
    <row r="451" spans="2:13" ht="12.75" x14ac:dyDescent="0.2">
      <c r="B451" s="51"/>
      <c r="M451" s="47"/>
    </row>
    <row r="452" spans="2:13" ht="12.75" x14ac:dyDescent="0.2">
      <c r="B452" s="51"/>
      <c r="M452" s="47"/>
    </row>
    <row r="453" spans="2:13" ht="12.75" x14ac:dyDescent="0.2">
      <c r="B453" s="51"/>
      <c r="M453" s="47"/>
    </row>
    <row r="454" spans="2:13" ht="12.75" x14ac:dyDescent="0.2">
      <c r="B454" s="51"/>
      <c r="M454" s="47"/>
    </row>
    <row r="455" spans="2:13" ht="12.75" x14ac:dyDescent="0.2">
      <c r="B455" s="51"/>
      <c r="M455" s="47"/>
    </row>
    <row r="456" spans="2:13" ht="12.75" x14ac:dyDescent="0.2">
      <c r="B456" s="51"/>
      <c r="M456" s="47"/>
    </row>
    <row r="457" spans="2:13" ht="12.75" x14ac:dyDescent="0.2">
      <c r="B457" s="51"/>
      <c r="M457" s="47"/>
    </row>
    <row r="458" spans="2:13" ht="12.75" x14ac:dyDescent="0.2">
      <c r="B458" s="51"/>
      <c r="M458" s="47"/>
    </row>
    <row r="459" spans="2:13" ht="12.75" x14ac:dyDescent="0.2">
      <c r="B459" s="51"/>
      <c r="M459" s="47"/>
    </row>
    <row r="460" spans="2:13" ht="12.75" x14ac:dyDescent="0.2">
      <c r="B460" s="51"/>
      <c r="M460" s="47"/>
    </row>
    <row r="461" spans="2:13" ht="12.75" x14ac:dyDescent="0.2">
      <c r="B461" s="51"/>
      <c r="M461" s="47"/>
    </row>
    <row r="462" spans="2:13" ht="12.75" x14ac:dyDescent="0.2">
      <c r="B462" s="51"/>
      <c r="M462" s="47"/>
    </row>
    <row r="463" spans="2:13" ht="12.75" x14ac:dyDescent="0.2">
      <c r="B463" s="51"/>
      <c r="M463" s="47"/>
    </row>
    <row r="464" spans="2:13" ht="12.75" x14ac:dyDescent="0.2">
      <c r="B464" s="51"/>
      <c r="M464" s="47"/>
    </row>
    <row r="465" spans="2:13" ht="12.75" x14ac:dyDescent="0.2">
      <c r="B465" s="51"/>
      <c r="M465" s="47"/>
    </row>
    <row r="466" spans="2:13" ht="12.75" x14ac:dyDescent="0.2">
      <c r="B466" s="51"/>
      <c r="M466" s="47"/>
    </row>
    <row r="467" spans="2:13" ht="12.75" x14ac:dyDescent="0.2">
      <c r="B467" s="51"/>
      <c r="M467" s="47"/>
    </row>
    <row r="468" spans="2:13" ht="12.75" x14ac:dyDescent="0.2">
      <c r="B468" s="51"/>
      <c r="M468" s="47"/>
    </row>
    <row r="469" spans="2:13" ht="12.75" x14ac:dyDescent="0.2">
      <c r="B469" s="51"/>
      <c r="M469" s="47"/>
    </row>
    <row r="470" spans="2:13" ht="12.75" x14ac:dyDescent="0.2">
      <c r="B470" s="51"/>
      <c r="M470" s="47"/>
    </row>
    <row r="471" spans="2:13" ht="12.75" x14ac:dyDescent="0.2">
      <c r="B471" s="51"/>
      <c r="M471" s="47"/>
    </row>
    <row r="472" spans="2:13" ht="12.75" x14ac:dyDescent="0.2">
      <c r="B472" s="51"/>
      <c r="M472" s="47"/>
    </row>
    <row r="473" spans="2:13" ht="12.75" x14ac:dyDescent="0.2">
      <c r="B473" s="51"/>
      <c r="M473" s="47"/>
    </row>
    <row r="474" spans="2:13" ht="12.75" x14ac:dyDescent="0.2">
      <c r="B474" s="51"/>
      <c r="M474" s="47"/>
    </row>
    <row r="475" spans="2:13" ht="12.75" x14ac:dyDescent="0.2">
      <c r="B475" s="51"/>
      <c r="M475" s="47"/>
    </row>
    <row r="476" spans="2:13" ht="12.75" x14ac:dyDescent="0.2">
      <c r="B476" s="51"/>
      <c r="M476" s="47"/>
    </row>
    <row r="477" spans="2:13" ht="12.75" x14ac:dyDescent="0.2">
      <c r="B477" s="51"/>
      <c r="M477" s="47"/>
    </row>
    <row r="478" spans="2:13" ht="12.75" x14ac:dyDescent="0.2">
      <c r="B478" s="51"/>
      <c r="M478" s="47"/>
    </row>
    <row r="479" spans="2:13" ht="12.75" x14ac:dyDescent="0.2">
      <c r="B479" s="51"/>
      <c r="M479" s="47"/>
    </row>
    <row r="480" spans="2:13" ht="12.75" x14ac:dyDescent="0.2">
      <c r="B480" s="51"/>
      <c r="M480" s="47"/>
    </row>
    <row r="481" spans="2:13" ht="12.75" x14ac:dyDescent="0.2">
      <c r="B481" s="51"/>
      <c r="M481" s="47"/>
    </row>
    <row r="482" spans="2:13" ht="12.75" x14ac:dyDescent="0.2">
      <c r="B482" s="51"/>
      <c r="M482" s="47"/>
    </row>
    <row r="483" spans="2:13" ht="12.75" x14ac:dyDescent="0.2">
      <c r="B483" s="51"/>
      <c r="M483" s="47"/>
    </row>
    <row r="484" spans="2:13" ht="12.75" x14ac:dyDescent="0.2">
      <c r="B484" s="51"/>
      <c r="M484" s="47"/>
    </row>
    <row r="485" spans="2:13" ht="12.75" x14ac:dyDescent="0.2">
      <c r="B485" s="51"/>
      <c r="M485" s="47"/>
    </row>
    <row r="486" spans="2:13" ht="12.75" x14ac:dyDescent="0.2">
      <c r="B486" s="51"/>
      <c r="M486" s="47"/>
    </row>
    <row r="487" spans="2:13" ht="12.75" x14ac:dyDescent="0.2">
      <c r="B487" s="51"/>
      <c r="M487" s="47"/>
    </row>
    <row r="488" spans="2:13" ht="12.75" x14ac:dyDescent="0.2">
      <c r="B488" s="51"/>
      <c r="M488" s="47"/>
    </row>
    <row r="489" spans="2:13" ht="12.75" x14ac:dyDescent="0.2">
      <c r="B489" s="51"/>
      <c r="M489" s="47"/>
    </row>
    <row r="490" spans="2:13" ht="12.75" x14ac:dyDescent="0.2">
      <c r="B490" s="51"/>
      <c r="M490" s="47"/>
    </row>
    <row r="491" spans="2:13" ht="12.75" x14ac:dyDescent="0.2">
      <c r="B491" s="51"/>
      <c r="M491" s="47"/>
    </row>
    <row r="492" spans="2:13" ht="12.75" x14ac:dyDescent="0.2">
      <c r="B492" s="51"/>
      <c r="M492" s="47"/>
    </row>
    <row r="493" spans="2:13" ht="12.75" x14ac:dyDescent="0.2">
      <c r="B493" s="51"/>
      <c r="M493" s="47"/>
    </row>
    <row r="494" spans="2:13" ht="12.75" x14ac:dyDescent="0.2">
      <c r="B494" s="51"/>
      <c r="M494" s="47"/>
    </row>
    <row r="495" spans="2:13" ht="12.75" x14ac:dyDescent="0.2">
      <c r="B495" s="51"/>
      <c r="M495" s="47"/>
    </row>
    <row r="496" spans="2:13" ht="12.75" x14ac:dyDescent="0.2">
      <c r="B496" s="51"/>
      <c r="M496" s="47"/>
    </row>
    <row r="497" spans="2:13" ht="12.75" x14ac:dyDescent="0.2">
      <c r="B497" s="51"/>
      <c r="M497" s="47"/>
    </row>
    <row r="498" spans="2:13" ht="12.75" x14ac:dyDescent="0.2">
      <c r="B498" s="51"/>
      <c r="M498" s="47"/>
    </row>
    <row r="499" spans="2:13" ht="12.75" x14ac:dyDescent="0.2">
      <c r="B499" s="51"/>
      <c r="M499" s="47"/>
    </row>
    <row r="500" spans="2:13" ht="12.75" x14ac:dyDescent="0.2">
      <c r="B500" s="51"/>
      <c r="M500" s="47"/>
    </row>
    <row r="501" spans="2:13" ht="12.75" x14ac:dyDescent="0.2">
      <c r="B501" s="51"/>
      <c r="M501" s="47"/>
    </row>
    <row r="502" spans="2:13" ht="12.75" x14ac:dyDescent="0.2">
      <c r="B502" s="51"/>
      <c r="M502" s="47"/>
    </row>
    <row r="503" spans="2:13" ht="12.75" x14ac:dyDescent="0.2">
      <c r="B503" s="51"/>
      <c r="M503" s="47"/>
    </row>
    <row r="504" spans="2:13" ht="12.75" x14ac:dyDescent="0.2">
      <c r="B504" s="51"/>
      <c r="M504" s="47"/>
    </row>
    <row r="505" spans="2:13" ht="12.75" x14ac:dyDescent="0.2">
      <c r="B505" s="51"/>
      <c r="M505" s="47"/>
    </row>
    <row r="506" spans="2:13" ht="12.75" x14ac:dyDescent="0.2">
      <c r="B506" s="51"/>
      <c r="M506" s="47"/>
    </row>
    <row r="507" spans="2:13" ht="12.75" x14ac:dyDescent="0.2">
      <c r="B507" s="51"/>
      <c r="M507" s="47"/>
    </row>
    <row r="508" spans="2:13" ht="12.75" x14ac:dyDescent="0.2">
      <c r="B508" s="51"/>
      <c r="M508" s="47"/>
    </row>
    <row r="509" spans="2:13" ht="12.75" x14ac:dyDescent="0.2">
      <c r="B509" s="51"/>
      <c r="M509" s="47"/>
    </row>
    <row r="510" spans="2:13" ht="12.75" x14ac:dyDescent="0.2">
      <c r="B510" s="51"/>
      <c r="M510" s="47"/>
    </row>
    <row r="511" spans="2:13" ht="12.75" x14ac:dyDescent="0.2">
      <c r="B511" s="51"/>
      <c r="M511" s="47"/>
    </row>
    <row r="512" spans="2:13" ht="12.75" x14ac:dyDescent="0.2">
      <c r="B512" s="51"/>
      <c r="M512" s="47"/>
    </row>
    <row r="513" spans="2:13" ht="12.75" x14ac:dyDescent="0.2">
      <c r="B513" s="51"/>
      <c r="M513" s="47"/>
    </row>
    <row r="514" spans="2:13" ht="12.75" x14ac:dyDescent="0.2">
      <c r="B514" s="51"/>
      <c r="M514" s="47"/>
    </row>
    <row r="515" spans="2:13" ht="12.75" x14ac:dyDescent="0.2">
      <c r="B515" s="51"/>
      <c r="M515" s="47"/>
    </row>
    <row r="516" spans="2:13" ht="12.75" x14ac:dyDescent="0.2">
      <c r="B516" s="51"/>
      <c r="M516" s="47"/>
    </row>
    <row r="517" spans="2:13" ht="12.75" x14ac:dyDescent="0.2">
      <c r="B517" s="51"/>
      <c r="M517" s="47"/>
    </row>
    <row r="518" spans="2:13" ht="12.75" x14ac:dyDescent="0.2">
      <c r="B518" s="51"/>
      <c r="M518" s="47"/>
    </row>
    <row r="519" spans="2:13" ht="12.75" x14ac:dyDescent="0.2">
      <c r="B519" s="51"/>
      <c r="M519" s="47"/>
    </row>
    <row r="520" spans="2:13" ht="12.75" x14ac:dyDescent="0.2">
      <c r="B520" s="51"/>
      <c r="M520" s="47"/>
    </row>
    <row r="521" spans="2:13" ht="12.75" x14ac:dyDescent="0.2">
      <c r="B521" s="51"/>
      <c r="M521" s="47"/>
    </row>
    <row r="522" spans="2:13" ht="12.75" x14ac:dyDescent="0.2">
      <c r="B522" s="51"/>
      <c r="M522" s="47"/>
    </row>
    <row r="523" spans="2:13" ht="12.75" x14ac:dyDescent="0.2">
      <c r="B523" s="51"/>
      <c r="M523" s="47"/>
    </row>
    <row r="524" spans="2:13" ht="12.75" x14ac:dyDescent="0.2">
      <c r="B524" s="51"/>
      <c r="M524" s="47"/>
    </row>
    <row r="525" spans="2:13" ht="12.75" x14ac:dyDescent="0.2">
      <c r="B525" s="51"/>
      <c r="M525" s="47"/>
    </row>
    <row r="526" spans="2:13" ht="12.75" x14ac:dyDescent="0.2">
      <c r="B526" s="51"/>
      <c r="M526" s="47"/>
    </row>
    <row r="527" spans="2:13" ht="12.75" x14ac:dyDescent="0.2">
      <c r="B527" s="51"/>
      <c r="M527" s="47"/>
    </row>
    <row r="528" spans="2:13" ht="12.75" x14ac:dyDescent="0.2">
      <c r="B528" s="51"/>
      <c r="M528" s="47"/>
    </row>
    <row r="529" spans="2:13" ht="12.75" x14ac:dyDescent="0.2">
      <c r="B529" s="51"/>
      <c r="M529" s="47"/>
    </row>
    <row r="530" spans="2:13" ht="12.75" x14ac:dyDescent="0.2">
      <c r="B530" s="51"/>
      <c r="M530" s="47"/>
    </row>
    <row r="531" spans="2:13" ht="12.75" x14ac:dyDescent="0.2">
      <c r="B531" s="51"/>
      <c r="M531" s="47"/>
    </row>
    <row r="532" spans="2:13" ht="12.75" x14ac:dyDescent="0.2">
      <c r="B532" s="51"/>
      <c r="M532" s="47"/>
    </row>
    <row r="533" spans="2:13" ht="12.75" x14ac:dyDescent="0.2">
      <c r="B533" s="51"/>
      <c r="M533" s="47"/>
    </row>
    <row r="534" spans="2:13" ht="12.75" x14ac:dyDescent="0.2">
      <c r="B534" s="51"/>
      <c r="M534" s="47"/>
    </row>
    <row r="535" spans="2:13" ht="12.75" x14ac:dyDescent="0.2">
      <c r="B535" s="51"/>
      <c r="M535" s="47"/>
    </row>
    <row r="536" spans="2:13" ht="12.75" x14ac:dyDescent="0.2">
      <c r="B536" s="51"/>
      <c r="M536" s="47"/>
    </row>
    <row r="537" spans="2:13" ht="12.75" x14ac:dyDescent="0.2">
      <c r="B537" s="51"/>
      <c r="M537" s="47"/>
    </row>
    <row r="538" spans="2:13" ht="12.75" x14ac:dyDescent="0.2">
      <c r="B538" s="51"/>
      <c r="M538" s="47"/>
    </row>
    <row r="539" spans="2:13" ht="12.75" x14ac:dyDescent="0.2">
      <c r="B539" s="51"/>
      <c r="M539" s="47"/>
    </row>
    <row r="540" spans="2:13" ht="12.75" x14ac:dyDescent="0.2">
      <c r="B540" s="51"/>
      <c r="M540" s="47"/>
    </row>
    <row r="541" spans="2:13" ht="12.75" x14ac:dyDescent="0.2">
      <c r="B541" s="51"/>
      <c r="M541" s="47"/>
    </row>
    <row r="542" spans="2:13" ht="12.75" x14ac:dyDescent="0.2">
      <c r="B542" s="51"/>
      <c r="M542" s="47"/>
    </row>
    <row r="543" spans="2:13" ht="12.75" x14ac:dyDescent="0.2">
      <c r="B543" s="51"/>
      <c r="M543" s="47"/>
    </row>
    <row r="544" spans="2:13" ht="12.75" x14ac:dyDescent="0.2">
      <c r="B544" s="51"/>
      <c r="M544" s="47"/>
    </row>
    <row r="545" spans="2:13" ht="12.75" x14ac:dyDescent="0.2">
      <c r="B545" s="51"/>
      <c r="M545" s="47"/>
    </row>
    <row r="546" spans="2:13" ht="12.75" x14ac:dyDescent="0.2">
      <c r="B546" s="51"/>
      <c r="M546" s="47"/>
    </row>
    <row r="547" spans="2:13" ht="12.75" x14ac:dyDescent="0.2">
      <c r="B547" s="51"/>
      <c r="M547" s="47"/>
    </row>
    <row r="548" spans="2:13" ht="12.75" x14ac:dyDescent="0.2">
      <c r="B548" s="51"/>
      <c r="M548" s="47"/>
    </row>
    <row r="549" spans="2:13" ht="12.75" x14ac:dyDescent="0.2">
      <c r="B549" s="51"/>
      <c r="M549" s="47"/>
    </row>
    <row r="550" spans="2:13" ht="12.75" x14ac:dyDescent="0.2">
      <c r="B550" s="51"/>
      <c r="M550" s="47"/>
    </row>
    <row r="551" spans="2:13" ht="12.75" x14ac:dyDescent="0.2">
      <c r="B551" s="51"/>
      <c r="M551" s="47"/>
    </row>
    <row r="552" spans="2:13" ht="12.75" x14ac:dyDescent="0.2">
      <c r="B552" s="51"/>
      <c r="M552" s="47"/>
    </row>
    <row r="553" spans="2:13" ht="12.75" x14ac:dyDescent="0.2">
      <c r="B553" s="51"/>
      <c r="M553" s="47"/>
    </row>
    <row r="554" spans="2:13" ht="12.75" x14ac:dyDescent="0.2">
      <c r="B554" s="51"/>
      <c r="M554" s="47"/>
    </row>
    <row r="555" spans="2:13" ht="12.75" x14ac:dyDescent="0.2">
      <c r="B555" s="51"/>
      <c r="M555" s="47"/>
    </row>
    <row r="556" spans="2:13" ht="12.75" x14ac:dyDescent="0.2">
      <c r="B556" s="51"/>
      <c r="M556" s="47"/>
    </row>
    <row r="557" spans="2:13" ht="12.75" x14ac:dyDescent="0.2">
      <c r="B557" s="51"/>
      <c r="M557" s="47"/>
    </row>
    <row r="558" spans="2:13" ht="12.75" x14ac:dyDescent="0.2">
      <c r="B558" s="51"/>
      <c r="M558" s="47"/>
    </row>
    <row r="559" spans="2:13" ht="12.75" x14ac:dyDescent="0.2">
      <c r="B559" s="51"/>
      <c r="M559" s="47"/>
    </row>
    <row r="560" spans="2:13" ht="12.75" x14ac:dyDescent="0.2">
      <c r="B560" s="51"/>
      <c r="M560" s="47"/>
    </row>
    <row r="561" spans="2:13" ht="12.75" x14ac:dyDescent="0.2">
      <c r="B561" s="51"/>
      <c r="M561" s="47"/>
    </row>
    <row r="562" spans="2:13" ht="12.75" x14ac:dyDescent="0.2">
      <c r="B562" s="51"/>
      <c r="M562" s="47"/>
    </row>
    <row r="563" spans="2:13" ht="12.75" x14ac:dyDescent="0.2">
      <c r="B563" s="51"/>
      <c r="M563" s="47"/>
    </row>
    <row r="564" spans="2:13" ht="12.75" x14ac:dyDescent="0.2">
      <c r="B564" s="51"/>
      <c r="M564" s="47"/>
    </row>
    <row r="565" spans="2:13" ht="12.75" x14ac:dyDescent="0.2">
      <c r="B565" s="51"/>
      <c r="M565" s="47"/>
    </row>
    <row r="566" spans="2:13" ht="12.75" x14ac:dyDescent="0.2">
      <c r="B566" s="51"/>
      <c r="M566" s="47"/>
    </row>
    <row r="567" spans="2:13" ht="12.75" x14ac:dyDescent="0.2">
      <c r="B567" s="51"/>
      <c r="M567" s="47"/>
    </row>
    <row r="568" spans="2:13" ht="12.75" x14ac:dyDescent="0.2">
      <c r="B568" s="51"/>
      <c r="M568" s="47"/>
    </row>
    <row r="569" spans="2:13" ht="12.75" x14ac:dyDescent="0.2">
      <c r="B569" s="51"/>
      <c r="M569" s="47"/>
    </row>
    <row r="570" spans="2:13" ht="12.75" x14ac:dyDescent="0.2">
      <c r="B570" s="51"/>
      <c r="M570" s="47"/>
    </row>
    <row r="571" spans="2:13" ht="12.75" x14ac:dyDescent="0.2">
      <c r="B571" s="51"/>
      <c r="M571" s="47"/>
    </row>
    <row r="572" spans="2:13" ht="12.75" x14ac:dyDescent="0.2">
      <c r="B572" s="51"/>
      <c r="M572" s="47"/>
    </row>
    <row r="573" spans="2:13" ht="12.75" x14ac:dyDescent="0.2">
      <c r="B573" s="51"/>
      <c r="M573" s="47"/>
    </row>
    <row r="574" spans="2:13" ht="12.75" x14ac:dyDescent="0.2">
      <c r="B574" s="51"/>
      <c r="M574" s="47"/>
    </row>
    <row r="575" spans="2:13" ht="12.75" x14ac:dyDescent="0.2">
      <c r="B575" s="51"/>
      <c r="M575" s="47"/>
    </row>
    <row r="576" spans="2:13" ht="12.75" x14ac:dyDescent="0.2">
      <c r="B576" s="51"/>
      <c r="M576" s="47"/>
    </row>
    <row r="577" spans="2:13" ht="12.75" x14ac:dyDescent="0.2">
      <c r="B577" s="51"/>
      <c r="M577" s="47"/>
    </row>
    <row r="578" spans="2:13" ht="12.75" x14ac:dyDescent="0.2">
      <c r="B578" s="51"/>
      <c r="M578" s="47"/>
    </row>
    <row r="579" spans="2:13" ht="12.75" x14ac:dyDescent="0.2">
      <c r="B579" s="51"/>
      <c r="M579" s="47"/>
    </row>
    <row r="580" spans="2:13" ht="12.75" x14ac:dyDescent="0.2">
      <c r="B580" s="51"/>
      <c r="M580" s="47"/>
    </row>
    <row r="581" spans="2:13" ht="12.75" x14ac:dyDescent="0.2">
      <c r="B581" s="51"/>
      <c r="M581" s="47"/>
    </row>
    <row r="582" spans="2:13" ht="12.75" x14ac:dyDescent="0.2">
      <c r="B582" s="51"/>
      <c r="M582" s="47"/>
    </row>
    <row r="583" spans="2:13" ht="12.75" x14ac:dyDescent="0.2">
      <c r="B583" s="51"/>
      <c r="M583" s="47"/>
    </row>
    <row r="584" spans="2:13" ht="12.75" x14ac:dyDescent="0.2">
      <c r="B584" s="51"/>
      <c r="M584" s="47"/>
    </row>
    <row r="585" spans="2:13" ht="12.75" x14ac:dyDescent="0.2">
      <c r="B585" s="51"/>
      <c r="M585" s="47"/>
    </row>
    <row r="586" spans="2:13" ht="12.75" x14ac:dyDescent="0.2">
      <c r="B586" s="51"/>
      <c r="M586" s="47"/>
    </row>
    <row r="587" spans="2:13" ht="12.75" x14ac:dyDescent="0.2">
      <c r="B587" s="51"/>
      <c r="M587" s="47"/>
    </row>
    <row r="588" spans="2:13" ht="12.75" x14ac:dyDescent="0.2">
      <c r="B588" s="51"/>
      <c r="M588" s="47"/>
    </row>
    <row r="589" spans="2:13" ht="12.75" x14ac:dyDescent="0.2">
      <c r="B589" s="51"/>
      <c r="M589" s="47"/>
    </row>
    <row r="590" spans="2:13" ht="12.75" x14ac:dyDescent="0.2">
      <c r="B590" s="51"/>
      <c r="M590" s="47"/>
    </row>
    <row r="591" spans="2:13" ht="12.75" x14ac:dyDescent="0.2">
      <c r="B591" s="51"/>
      <c r="M591" s="47"/>
    </row>
    <row r="592" spans="2:13" ht="12.75" x14ac:dyDescent="0.2">
      <c r="B592" s="51"/>
      <c r="M592" s="47"/>
    </row>
    <row r="593" spans="2:13" ht="12.75" x14ac:dyDescent="0.2">
      <c r="B593" s="51"/>
      <c r="M593" s="47"/>
    </row>
    <row r="594" spans="2:13" ht="12.75" x14ac:dyDescent="0.2">
      <c r="B594" s="51"/>
      <c r="M594" s="47"/>
    </row>
    <row r="595" spans="2:13" ht="12.75" x14ac:dyDescent="0.2">
      <c r="B595" s="51"/>
      <c r="M595" s="47"/>
    </row>
    <row r="596" spans="2:13" ht="12.75" x14ac:dyDescent="0.2">
      <c r="B596" s="51"/>
      <c r="M596" s="47"/>
    </row>
    <row r="597" spans="2:13" ht="12.75" x14ac:dyDescent="0.2">
      <c r="B597" s="51"/>
      <c r="M597" s="47"/>
    </row>
    <row r="598" spans="2:13" ht="12.75" x14ac:dyDescent="0.2">
      <c r="B598" s="51"/>
      <c r="M598" s="47"/>
    </row>
    <row r="599" spans="2:13" ht="12.75" x14ac:dyDescent="0.2">
      <c r="B599" s="51"/>
      <c r="M599" s="47"/>
    </row>
    <row r="600" spans="2:13" ht="12.75" x14ac:dyDescent="0.2">
      <c r="B600" s="51"/>
      <c r="M600" s="47"/>
    </row>
    <row r="601" spans="2:13" ht="12.75" x14ac:dyDescent="0.2">
      <c r="B601" s="51"/>
      <c r="M601" s="47"/>
    </row>
    <row r="602" spans="2:13" ht="12.75" x14ac:dyDescent="0.2">
      <c r="B602" s="51"/>
      <c r="M602" s="47"/>
    </row>
    <row r="603" spans="2:13" ht="12.75" x14ac:dyDescent="0.2">
      <c r="B603" s="51"/>
      <c r="M603" s="47"/>
    </row>
    <row r="604" spans="2:13" ht="12.75" x14ac:dyDescent="0.2">
      <c r="B604" s="51"/>
      <c r="M604" s="47"/>
    </row>
    <row r="605" spans="2:13" ht="12.75" x14ac:dyDescent="0.2">
      <c r="B605" s="51"/>
      <c r="M605" s="47"/>
    </row>
    <row r="606" spans="2:13" ht="12.75" x14ac:dyDescent="0.2">
      <c r="B606" s="51"/>
      <c r="M606" s="47"/>
    </row>
    <row r="607" spans="2:13" ht="12.75" x14ac:dyDescent="0.2">
      <c r="B607" s="51"/>
      <c r="M607" s="47"/>
    </row>
    <row r="608" spans="2:13" ht="12.75" x14ac:dyDescent="0.2">
      <c r="B608" s="51"/>
      <c r="M608" s="47"/>
    </row>
    <row r="609" spans="2:13" ht="12.75" x14ac:dyDescent="0.2">
      <c r="B609" s="51"/>
      <c r="M609" s="47"/>
    </row>
    <row r="610" spans="2:13" ht="12.75" x14ac:dyDescent="0.2">
      <c r="B610" s="51"/>
      <c r="M610" s="47"/>
    </row>
    <row r="611" spans="2:13" ht="12.75" x14ac:dyDescent="0.2">
      <c r="B611" s="51"/>
      <c r="M611" s="47"/>
    </row>
    <row r="612" spans="2:13" ht="12.75" x14ac:dyDescent="0.2">
      <c r="B612" s="51"/>
      <c r="M612" s="47"/>
    </row>
    <row r="613" spans="2:13" ht="12.75" x14ac:dyDescent="0.2">
      <c r="B613" s="51"/>
      <c r="M613" s="47"/>
    </row>
    <row r="614" spans="2:13" ht="12.75" x14ac:dyDescent="0.2">
      <c r="B614" s="51"/>
      <c r="M614" s="47"/>
    </row>
    <row r="615" spans="2:13" ht="12.75" x14ac:dyDescent="0.2">
      <c r="B615" s="51"/>
      <c r="M615" s="47"/>
    </row>
    <row r="616" spans="2:13" ht="12.75" x14ac:dyDescent="0.2">
      <c r="B616" s="51"/>
      <c r="M616" s="47"/>
    </row>
    <row r="617" spans="2:13" ht="12.75" x14ac:dyDescent="0.2">
      <c r="B617" s="51"/>
      <c r="M617" s="47"/>
    </row>
    <row r="618" spans="2:13" ht="12.75" x14ac:dyDescent="0.2">
      <c r="B618" s="51"/>
      <c r="M618" s="47"/>
    </row>
    <row r="619" spans="2:13" ht="12.75" x14ac:dyDescent="0.2">
      <c r="B619" s="51"/>
      <c r="M619" s="47"/>
    </row>
    <row r="620" spans="2:13" ht="12.75" x14ac:dyDescent="0.2">
      <c r="B620" s="51"/>
      <c r="M620" s="47"/>
    </row>
    <row r="621" spans="2:13" ht="12.75" x14ac:dyDescent="0.2">
      <c r="B621" s="51"/>
      <c r="M621" s="47"/>
    </row>
    <row r="622" spans="2:13" ht="12.75" x14ac:dyDescent="0.2">
      <c r="B622" s="51"/>
      <c r="M622" s="47"/>
    </row>
    <row r="623" spans="2:13" ht="12.75" x14ac:dyDescent="0.2">
      <c r="B623" s="51"/>
      <c r="M623" s="47"/>
    </row>
    <row r="624" spans="2:13" ht="12.75" x14ac:dyDescent="0.2">
      <c r="B624" s="51"/>
      <c r="M624" s="47"/>
    </row>
    <row r="625" spans="2:13" ht="12.75" x14ac:dyDescent="0.2">
      <c r="B625" s="51"/>
      <c r="M625" s="47"/>
    </row>
    <row r="626" spans="2:13" ht="12.75" x14ac:dyDescent="0.2">
      <c r="B626" s="51"/>
      <c r="M626" s="47"/>
    </row>
    <row r="627" spans="2:13" ht="12.75" x14ac:dyDescent="0.2">
      <c r="B627" s="51"/>
      <c r="M627" s="47"/>
    </row>
    <row r="628" spans="2:13" ht="12.75" x14ac:dyDescent="0.2">
      <c r="B628" s="51"/>
      <c r="M628" s="47"/>
    </row>
    <row r="629" spans="2:13" ht="12.75" x14ac:dyDescent="0.2">
      <c r="B629" s="51"/>
      <c r="M629" s="47"/>
    </row>
    <row r="630" spans="2:13" ht="12.75" x14ac:dyDescent="0.2">
      <c r="B630" s="51"/>
      <c r="M630" s="47"/>
    </row>
    <row r="631" spans="2:13" ht="12.75" x14ac:dyDescent="0.2">
      <c r="B631" s="51"/>
      <c r="M631" s="47"/>
    </row>
    <row r="632" spans="2:13" ht="12.75" x14ac:dyDescent="0.2">
      <c r="B632" s="51"/>
      <c r="M632" s="47"/>
    </row>
    <row r="633" spans="2:13" ht="12.75" x14ac:dyDescent="0.2">
      <c r="B633" s="51"/>
      <c r="M633" s="47"/>
    </row>
    <row r="634" spans="2:13" ht="12.75" x14ac:dyDescent="0.2">
      <c r="B634" s="51"/>
      <c r="M634" s="47"/>
    </row>
    <row r="635" spans="2:13" ht="12.75" x14ac:dyDescent="0.2">
      <c r="B635" s="51"/>
      <c r="M635" s="47"/>
    </row>
    <row r="636" spans="2:13" ht="12.75" x14ac:dyDescent="0.2">
      <c r="B636" s="51"/>
      <c r="M636" s="47"/>
    </row>
    <row r="637" spans="2:13" ht="12.75" x14ac:dyDescent="0.2">
      <c r="B637" s="51"/>
      <c r="M637" s="47"/>
    </row>
    <row r="638" spans="2:13" ht="12.75" x14ac:dyDescent="0.2">
      <c r="B638" s="51"/>
      <c r="M638" s="47"/>
    </row>
    <row r="639" spans="2:13" ht="12.75" x14ac:dyDescent="0.2">
      <c r="B639" s="51"/>
      <c r="M639" s="47"/>
    </row>
    <row r="640" spans="2:13" ht="12.75" x14ac:dyDescent="0.2">
      <c r="B640" s="51"/>
      <c r="M640" s="47"/>
    </row>
    <row r="641" spans="2:13" ht="12.75" x14ac:dyDescent="0.2">
      <c r="B641" s="51"/>
      <c r="M641" s="47"/>
    </row>
    <row r="642" spans="2:13" ht="12.75" x14ac:dyDescent="0.2">
      <c r="B642" s="51"/>
      <c r="M642" s="47"/>
    </row>
    <row r="643" spans="2:13" ht="12.75" x14ac:dyDescent="0.2">
      <c r="B643" s="51"/>
      <c r="M643" s="47"/>
    </row>
    <row r="644" spans="2:13" ht="12.75" x14ac:dyDescent="0.2">
      <c r="B644" s="51"/>
      <c r="M644" s="47"/>
    </row>
    <row r="645" spans="2:13" ht="12.75" x14ac:dyDescent="0.2">
      <c r="B645" s="51"/>
      <c r="M645" s="47"/>
    </row>
    <row r="646" spans="2:13" ht="12.75" x14ac:dyDescent="0.2">
      <c r="B646" s="51"/>
      <c r="M646" s="47"/>
    </row>
    <row r="647" spans="2:13" ht="12.75" x14ac:dyDescent="0.2">
      <c r="B647" s="51"/>
      <c r="M647" s="47"/>
    </row>
    <row r="648" spans="2:13" ht="12.75" x14ac:dyDescent="0.2">
      <c r="B648" s="51"/>
      <c r="M648" s="47"/>
    </row>
    <row r="649" spans="2:13" ht="12.75" x14ac:dyDescent="0.2">
      <c r="B649" s="51"/>
      <c r="M649" s="47"/>
    </row>
    <row r="650" spans="2:13" ht="12.75" x14ac:dyDescent="0.2">
      <c r="B650" s="51"/>
      <c r="M650" s="47"/>
    </row>
    <row r="651" spans="2:13" ht="12.75" x14ac:dyDescent="0.2">
      <c r="B651" s="51"/>
      <c r="M651" s="47"/>
    </row>
    <row r="652" spans="2:13" ht="12.75" x14ac:dyDescent="0.2">
      <c r="B652" s="51"/>
      <c r="M652" s="47"/>
    </row>
    <row r="653" spans="2:13" ht="12.75" x14ac:dyDescent="0.2">
      <c r="B653" s="51"/>
      <c r="M653" s="47"/>
    </row>
    <row r="654" spans="2:13" ht="12.75" x14ac:dyDescent="0.2">
      <c r="B654" s="51"/>
      <c r="M654" s="47"/>
    </row>
    <row r="655" spans="2:13" ht="12.75" x14ac:dyDescent="0.2">
      <c r="B655" s="51"/>
      <c r="M655" s="47"/>
    </row>
    <row r="656" spans="2:13" ht="12.75" x14ac:dyDescent="0.2">
      <c r="B656" s="51"/>
      <c r="M656" s="47"/>
    </row>
    <row r="657" spans="2:13" ht="12.75" x14ac:dyDescent="0.2">
      <c r="B657" s="51"/>
      <c r="M657" s="47"/>
    </row>
    <row r="658" spans="2:13" ht="12.75" x14ac:dyDescent="0.2">
      <c r="B658" s="51"/>
      <c r="M658" s="47"/>
    </row>
    <row r="659" spans="2:13" ht="12.75" x14ac:dyDescent="0.2">
      <c r="B659" s="51"/>
      <c r="M659" s="47"/>
    </row>
    <row r="660" spans="2:13" ht="12.75" x14ac:dyDescent="0.2">
      <c r="B660" s="51"/>
      <c r="M660" s="47"/>
    </row>
    <row r="661" spans="2:13" ht="12.75" x14ac:dyDescent="0.2">
      <c r="B661" s="51"/>
      <c r="M661" s="47"/>
    </row>
    <row r="662" spans="2:13" ht="12.75" x14ac:dyDescent="0.2">
      <c r="B662" s="51"/>
      <c r="M662" s="47"/>
    </row>
    <row r="663" spans="2:13" ht="12.75" x14ac:dyDescent="0.2">
      <c r="B663" s="51"/>
      <c r="M663" s="47"/>
    </row>
    <row r="664" spans="2:13" ht="12.75" x14ac:dyDescent="0.2">
      <c r="B664" s="51"/>
      <c r="M664" s="47"/>
    </row>
    <row r="665" spans="2:13" ht="12.75" x14ac:dyDescent="0.2">
      <c r="B665" s="51"/>
      <c r="M665" s="47"/>
    </row>
    <row r="666" spans="2:13" ht="12.75" x14ac:dyDescent="0.2">
      <c r="B666" s="51"/>
      <c r="M666" s="47"/>
    </row>
    <row r="667" spans="2:13" ht="12.75" x14ac:dyDescent="0.2">
      <c r="B667" s="51"/>
      <c r="M667" s="47"/>
    </row>
    <row r="668" spans="2:13" ht="12.75" x14ac:dyDescent="0.2">
      <c r="B668" s="51"/>
      <c r="M668" s="47"/>
    </row>
    <row r="669" spans="2:13" ht="12.75" x14ac:dyDescent="0.2">
      <c r="B669" s="51"/>
      <c r="M669" s="47"/>
    </row>
    <row r="670" spans="2:13" ht="12.75" x14ac:dyDescent="0.2">
      <c r="B670" s="51"/>
      <c r="M670" s="47"/>
    </row>
    <row r="671" spans="2:13" ht="12.75" x14ac:dyDescent="0.2">
      <c r="B671" s="51"/>
      <c r="M671" s="47"/>
    </row>
    <row r="672" spans="2:13" ht="12.75" x14ac:dyDescent="0.2">
      <c r="B672" s="51"/>
      <c r="M672" s="47"/>
    </row>
    <row r="673" spans="2:13" ht="12.75" x14ac:dyDescent="0.2">
      <c r="B673" s="51"/>
      <c r="M673" s="47"/>
    </row>
    <row r="674" spans="2:13" ht="12.75" x14ac:dyDescent="0.2">
      <c r="B674" s="51"/>
      <c r="M674" s="47"/>
    </row>
    <row r="675" spans="2:13" ht="12.75" x14ac:dyDescent="0.2">
      <c r="B675" s="51"/>
      <c r="M675" s="47"/>
    </row>
    <row r="676" spans="2:13" ht="12.75" x14ac:dyDescent="0.2">
      <c r="B676" s="51"/>
      <c r="M676" s="47"/>
    </row>
    <row r="677" spans="2:13" ht="12.75" x14ac:dyDescent="0.2">
      <c r="B677" s="51"/>
      <c r="M677" s="47"/>
    </row>
    <row r="678" spans="2:13" ht="12.75" x14ac:dyDescent="0.2">
      <c r="B678" s="51"/>
      <c r="M678" s="47"/>
    </row>
    <row r="679" spans="2:13" ht="12.75" x14ac:dyDescent="0.2">
      <c r="B679" s="51"/>
      <c r="M679" s="47"/>
    </row>
    <row r="680" spans="2:13" ht="12.75" x14ac:dyDescent="0.2">
      <c r="B680" s="51"/>
      <c r="M680" s="47"/>
    </row>
    <row r="681" spans="2:13" ht="12.75" x14ac:dyDescent="0.2">
      <c r="B681" s="51"/>
      <c r="M681" s="47"/>
    </row>
    <row r="682" spans="2:13" ht="12.75" x14ac:dyDescent="0.2">
      <c r="B682" s="51"/>
      <c r="M682" s="47"/>
    </row>
    <row r="683" spans="2:13" ht="12.75" x14ac:dyDescent="0.2">
      <c r="B683" s="51"/>
      <c r="M683" s="47"/>
    </row>
    <row r="684" spans="2:13" ht="12.75" x14ac:dyDescent="0.2">
      <c r="B684" s="51"/>
      <c r="M684" s="47"/>
    </row>
    <row r="685" spans="2:13" ht="12.75" x14ac:dyDescent="0.2">
      <c r="B685" s="51"/>
      <c r="M685" s="47"/>
    </row>
    <row r="686" spans="2:13" ht="12.75" x14ac:dyDescent="0.2">
      <c r="B686" s="51"/>
      <c r="M686" s="47"/>
    </row>
    <row r="687" spans="2:13" ht="12.75" x14ac:dyDescent="0.2">
      <c r="B687" s="51"/>
      <c r="M687" s="47"/>
    </row>
    <row r="688" spans="2:13" ht="12.75" x14ac:dyDescent="0.2">
      <c r="B688" s="51"/>
      <c r="M688" s="47"/>
    </row>
    <row r="689" spans="2:13" ht="12.75" x14ac:dyDescent="0.2">
      <c r="B689" s="51"/>
      <c r="M689" s="47"/>
    </row>
    <row r="690" spans="2:13" ht="12.75" x14ac:dyDescent="0.2">
      <c r="B690" s="51"/>
      <c r="M690" s="47"/>
    </row>
    <row r="691" spans="2:13" ht="12.75" x14ac:dyDescent="0.2">
      <c r="B691" s="51"/>
      <c r="M691" s="47"/>
    </row>
    <row r="692" spans="2:13" ht="12.75" x14ac:dyDescent="0.2">
      <c r="B692" s="51"/>
      <c r="M692" s="47"/>
    </row>
    <row r="693" spans="2:13" ht="12.75" x14ac:dyDescent="0.2">
      <c r="B693" s="51"/>
      <c r="M693" s="47"/>
    </row>
    <row r="694" spans="2:13" ht="12.75" x14ac:dyDescent="0.2">
      <c r="B694" s="51"/>
      <c r="M694" s="47"/>
    </row>
    <row r="695" spans="2:13" ht="12.75" x14ac:dyDescent="0.2">
      <c r="B695" s="51"/>
      <c r="M695" s="47"/>
    </row>
    <row r="696" spans="2:13" ht="12.75" x14ac:dyDescent="0.2">
      <c r="B696" s="51"/>
      <c r="M696" s="47"/>
    </row>
    <row r="697" spans="2:13" ht="12.75" x14ac:dyDescent="0.2">
      <c r="B697" s="51"/>
      <c r="M697" s="47"/>
    </row>
    <row r="698" spans="2:13" ht="12.75" x14ac:dyDescent="0.2">
      <c r="B698" s="51"/>
      <c r="M698" s="47"/>
    </row>
    <row r="699" spans="2:13" ht="12.75" x14ac:dyDescent="0.2">
      <c r="B699" s="51"/>
      <c r="M699" s="47"/>
    </row>
    <row r="700" spans="2:13" ht="12.75" x14ac:dyDescent="0.2">
      <c r="B700" s="51"/>
      <c r="M700" s="47"/>
    </row>
    <row r="701" spans="2:13" ht="12.75" x14ac:dyDescent="0.2">
      <c r="B701" s="51"/>
      <c r="M701" s="47"/>
    </row>
    <row r="702" spans="2:13" ht="12.75" x14ac:dyDescent="0.2">
      <c r="B702" s="51"/>
      <c r="M702" s="47"/>
    </row>
    <row r="703" spans="2:13" ht="12.75" x14ac:dyDescent="0.2">
      <c r="B703" s="51"/>
      <c r="M703" s="47"/>
    </row>
    <row r="704" spans="2:13" ht="12.75" x14ac:dyDescent="0.2">
      <c r="B704" s="51"/>
      <c r="M704" s="47"/>
    </row>
    <row r="705" spans="2:13" ht="12.75" x14ac:dyDescent="0.2">
      <c r="B705" s="51"/>
      <c r="M705" s="47"/>
    </row>
    <row r="706" spans="2:13" ht="12.75" x14ac:dyDescent="0.2">
      <c r="B706" s="51"/>
      <c r="M706" s="47"/>
    </row>
    <row r="707" spans="2:13" ht="12.75" x14ac:dyDescent="0.2">
      <c r="B707" s="51"/>
      <c r="M707" s="47"/>
    </row>
    <row r="708" spans="2:13" ht="12.75" x14ac:dyDescent="0.2">
      <c r="B708" s="51"/>
      <c r="M708" s="47"/>
    </row>
    <row r="709" spans="2:13" ht="12.75" x14ac:dyDescent="0.2">
      <c r="B709" s="51"/>
      <c r="M709" s="47"/>
    </row>
    <row r="710" spans="2:13" ht="12.75" x14ac:dyDescent="0.2">
      <c r="B710" s="51"/>
      <c r="M710" s="47"/>
    </row>
    <row r="711" spans="2:13" ht="12.75" x14ac:dyDescent="0.2">
      <c r="B711" s="51"/>
      <c r="M711" s="47"/>
    </row>
    <row r="712" spans="2:13" ht="12.75" x14ac:dyDescent="0.2">
      <c r="B712" s="51"/>
      <c r="M712" s="47"/>
    </row>
    <row r="713" spans="2:13" ht="12.75" x14ac:dyDescent="0.2">
      <c r="B713" s="51"/>
      <c r="M713" s="47"/>
    </row>
    <row r="714" spans="2:13" ht="12.75" x14ac:dyDescent="0.2">
      <c r="B714" s="51"/>
      <c r="M714" s="47"/>
    </row>
    <row r="715" spans="2:13" ht="12.75" x14ac:dyDescent="0.2">
      <c r="B715" s="51"/>
      <c r="M715" s="47"/>
    </row>
    <row r="716" spans="2:13" ht="12.75" x14ac:dyDescent="0.2">
      <c r="B716" s="51"/>
      <c r="M716" s="47"/>
    </row>
    <row r="717" spans="2:13" ht="12.75" x14ac:dyDescent="0.2">
      <c r="B717" s="51"/>
      <c r="M717" s="47"/>
    </row>
    <row r="718" spans="2:13" ht="12.75" x14ac:dyDescent="0.2">
      <c r="B718" s="51"/>
      <c r="M718" s="47"/>
    </row>
    <row r="719" spans="2:13" ht="12.75" x14ac:dyDescent="0.2">
      <c r="B719" s="51"/>
      <c r="M719" s="47"/>
    </row>
    <row r="720" spans="2:13" ht="12.75" x14ac:dyDescent="0.2">
      <c r="B720" s="51"/>
      <c r="M720" s="47"/>
    </row>
    <row r="721" spans="2:13" ht="12.75" x14ac:dyDescent="0.2">
      <c r="B721" s="51"/>
      <c r="M721" s="47"/>
    </row>
    <row r="722" spans="2:13" ht="12.75" x14ac:dyDescent="0.2">
      <c r="B722" s="51"/>
      <c r="M722" s="47"/>
    </row>
    <row r="723" spans="2:13" ht="12.75" x14ac:dyDescent="0.2">
      <c r="B723" s="51"/>
      <c r="M723" s="47"/>
    </row>
    <row r="724" spans="2:13" ht="12.75" x14ac:dyDescent="0.2">
      <c r="B724" s="51"/>
      <c r="M724" s="47"/>
    </row>
    <row r="725" spans="2:13" ht="12.75" x14ac:dyDescent="0.2">
      <c r="B725" s="51"/>
      <c r="M725" s="47"/>
    </row>
    <row r="726" spans="2:13" ht="12.75" x14ac:dyDescent="0.2">
      <c r="B726" s="51"/>
      <c r="M726" s="47"/>
    </row>
    <row r="727" spans="2:13" ht="12.75" x14ac:dyDescent="0.2">
      <c r="B727" s="51"/>
      <c r="M727" s="47"/>
    </row>
    <row r="728" spans="2:13" ht="12.75" x14ac:dyDescent="0.2">
      <c r="B728" s="51"/>
      <c r="M728" s="47"/>
    </row>
    <row r="729" spans="2:13" ht="12.75" x14ac:dyDescent="0.2">
      <c r="B729" s="51"/>
      <c r="M729" s="47"/>
    </row>
    <row r="730" spans="2:13" ht="12.75" x14ac:dyDescent="0.2">
      <c r="B730" s="51"/>
      <c r="M730" s="47"/>
    </row>
    <row r="731" spans="2:13" ht="12.75" x14ac:dyDescent="0.2">
      <c r="B731" s="51"/>
      <c r="M731" s="47"/>
    </row>
    <row r="732" spans="2:13" ht="12.75" x14ac:dyDescent="0.2">
      <c r="B732" s="51"/>
      <c r="M732" s="47"/>
    </row>
    <row r="733" spans="2:13" ht="12.75" x14ac:dyDescent="0.2">
      <c r="B733" s="51"/>
      <c r="M733" s="47"/>
    </row>
    <row r="734" spans="2:13" ht="12.75" x14ac:dyDescent="0.2">
      <c r="B734" s="51"/>
      <c r="M734" s="47"/>
    </row>
    <row r="735" spans="2:13" ht="12.75" x14ac:dyDescent="0.2">
      <c r="B735" s="51"/>
      <c r="M735" s="47"/>
    </row>
    <row r="736" spans="2:13" ht="12.75" x14ac:dyDescent="0.2">
      <c r="B736" s="51"/>
      <c r="M736" s="47"/>
    </row>
    <row r="737" spans="2:13" ht="12.75" x14ac:dyDescent="0.2">
      <c r="B737" s="51"/>
      <c r="M737" s="47"/>
    </row>
    <row r="738" spans="2:13" ht="12.75" x14ac:dyDescent="0.2">
      <c r="B738" s="51"/>
      <c r="M738" s="47"/>
    </row>
    <row r="739" spans="2:13" ht="12.75" x14ac:dyDescent="0.2">
      <c r="B739" s="51"/>
      <c r="M739" s="47"/>
    </row>
    <row r="740" spans="2:13" ht="12.75" x14ac:dyDescent="0.2">
      <c r="B740" s="51"/>
      <c r="M740" s="47"/>
    </row>
    <row r="741" spans="2:13" ht="12.75" x14ac:dyDescent="0.2">
      <c r="B741" s="51"/>
      <c r="M741" s="47"/>
    </row>
    <row r="742" spans="2:13" ht="12.75" x14ac:dyDescent="0.2">
      <c r="B742" s="51"/>
      <c r="M742" s="47"/>
    </row>
    <row r="743" spans="2:13" ht="12.75" x14ac:dyDescent="0.2">
      <c r="B743" s="51"/>
      <c r="M743" s="47"/>
    </row>
    <row r="744" spans="2:13" ht="12.75" x14ac:dyDescent="0.2">
      <c r="B744" s="51"/>
      <c r="M744" s="47"/>
    </row>
    <row r="745" spans="2:13" ht="12.75" x14ac:dyDescent="0.2">
      <c r="B745" s="51"/>
      <c r="M745" s="47"/>
    </row>
    <row r="746" spans="2:13" ht="12.75" x14ac:dyDescent="0.2">
      <c r="B746" s="51"/>
      <c r="M746" s="47"/>
    </row>
    <row r="747" spans="2:13" ht="12.75" x14ac:dyDescent="0.2">
      <c r="B747" s="51"/>
      <c r="M747" s="47"/>
    </row>
    <row r="748" spans="2:13" ht="12.75" x14ac:dyDescent="0.2">
      <c r="B748" s="51"/>
      <c r="M748" s="47"/>
    </row>
    <row r="749" spans="2:13" ht="12.75" x14ac:dyDescent="0.2">
      <c r="B749" s="51"/>
      <c r="M749" s="47"/>
    </row>
    <row r="750" spans="2:13" ht="12.75" x14ac:dyDescent="0.2">
      <c r="B750" s="51"/>
      <c r="M750" s="47"/>
    </row>
    <row r="751" spans="2:13" ht="12.75" x14ac:dyDescent="0.2">
      <c r="B751" s="51"/>
      <c r="M751" s="47"/>
    </row>
    <row r="752" spans="2:13" ht="12.75" x14ac:dyDescent="0.2">
      <c r="B752" s="51"/>
      <c r="M752" s="47"/>
    </row>
    <row r="753" spans="2:13" ht="12.75" x14ac:dyDescent="0.2">
      <c r="B753" s="51"/>
      <c r="M753" s="47"/>
    </row>
    <row r="754" spans="2:13" ht="12.75" x14ac:dyDescent="0.2">
      <c r="B754" s="51"/>
      <c r="M754" s="47"/>
    </row>
    <row r="755" spans="2:13" ht="12.75" x14ac:dyDescent="0.2">
      <c r="B755" s="51"/>
      <c r="M755" s="47"/>
    </row>
    <row r="756" spans="2:13" ht="12.75" x14ac:dyDescent="0.2">
      <c r="B756" s="51"/>
      <c r="M756" s="47"/>
    </row>
    <row r="757" spans="2:13" ht="12.75" x14ac:dyDescent="0.2">
      <c r="B757" s="51"/>
      <c r="M757" s="47"/>
    </row>
    <row r="758" spans="2:13" ht="12.75" x14ac:dyDescent="0.2">
      <c r="B758" s="51"/>
      <c r="M758" s="47"/>
    </row>
    <row r="759" spans="2:13" ht="12.75" x14ac:dyDescent="0.2">
      <c r="B759" s="51"/>
      <c r="M759" s="47"/>
    </row>
    <row r="760" spans="2:13" ht="12.75" x14ac:dyDescent="0.2">
      <c r="B760" s="51"/>
      <c r="M760" s="47"/>
    </row>
    <row r="761" spans="2:13" ht="12.75" x14ac:dyDescent="0.2">
      <c r="B761" s="51"/>
      <c r="M761" s="47"/>
    </row>
    <row r="762" spans="2:13" ht="12.75" x14ac:dyDescent="0.2">
      <c r="B762" s="51"/>
      <c r="M762" s="47"/>
    </row>
    <row r="763" spans="2:13" ht="12.75" x14ac:dyDescent="0.2">
      <c r="B763" s="51"/>
      <c r="M763" s="47"/>
    </row>
    <row r="764" spans="2:13" ht="12.75" x14ac:dyDescent="0.2">
      <c r="B764" s="51"/>
      <c r="M764" s="47"/>
    </row>
    <row r="765" spans="2:13" ht="12.75" x14ac:dyDescent="0.2">
      <c r="B765" s="51"/>
      <c r="M765" s="47"/>
    </row>
    <row r="766" spans="2:13" ht="12.75" x14ac:dyDescent="0.2">
      <c r="B766" s="51"/>
      <c r="M766" s="47"/>
    </row>
    <row r="767" spans="2:13" ht="12.75" x14ac:dyDescent="0.2">
      <c r="B767" s="51"/>
      <c r="M767" s="47"/>
    </row>
    <row r="768" spans="2:13" ht="12.75" x14ac:dyDescent="0.2">
      <c r="B768" s="51"/>
      <c r="M768" s="47"/>
    </row>
    <row r="769" spans="2:13" ht="12.75" x14ac:dyDescent="0.2">
      <c r="B769" s="51"/>
      <c r="M769" s="47"/>
    </row>
    <row r="770" spans="2:13" ht="12.75" x14ac:dyDescent="0.2">
      <c r="B770" s="51"/>
      <c r="M770" s="47"/>
    </row>
    <row r="771" spans="2:13" ht="12.75" x14ac:dyDescent="0.2">
      <c r="B771" s="51"/>
      <c r="M771" s="47"/>
    </row>
    <row r="772" spans="2:13" ht="12.75" x14ac:dyDescent="0.2">
      <c r="B772" s="51"/>
      <c r="M772" s="47"/>
    </row>
    <row r="773" spans="2:13" ht="12.75" x14ac:dyDescent="0.2">
      <c r="B773" s="51"/>
      <c r="M773" s="47"/>
    </row>
    <row r="774" spans="2:13" ht="12.75" x14ac:dyDescent="0.2">
      <c r="B774" s="51"/>
      <c r="M774" s="47"/>
    </row>
    <row r="775" spans="2:13" ht="12.75" x14ac:dyDescent="0.2">
      <c r="B775" s="51"/>
      <c r="M775" s="47"/>
    </row>
    <row r="776" spans="2:13" ht="12.75" x14ac:dyDescent="0.2">
      <c r="B776" s="51"/>
      <c r="M776" s="47"/>
    </row>
    <row r="777" spans="2:13" ht="12.75" x14ac:dyDescent="0.2">
      <c r="B777" s="51"/>
      <c r="M777" s="47"/>
    </row>
    <row r="778" spans="2:13" ht="12.75" x14ac:dyDescent="0.2">
      <c r="B778" s="51"/>
      <c r="M778" s="47"/>
    </row>
    <row r="779" spans="2:13" ht="12.75" x14ac:dyDescent="0.2">
      <c r="B779" s="51"/>
      <c r="M779" s="47"/>
    </row>
    <row r="780" spans="2:13" ht="12.75" x14ac:dyDescent="0.2">
      <c r="B780" s="51"/>
      <c r="M780" s="47"/>
    </row>
    <row r="781" spans="2:13" ht="12.75" x14ac:dyDescent="0.2">
      <c r="B781" s="51"/>
      <c r="M781" s="47"/>
    </row>
    <row r="782" spans="2:13" ht="12.75" x14ac:dyDescent="0.2">
      <c r="B782" s="51"/>
      <c r="M782" s="47"/>
    </row>
    <row r="783" spans="2:13" ht="12.75" x14ac:dyDescent="0.2">
      <c r="B783" s="51"/>
      <c r="M783" s="47"/>
    </row>
    <row r="784" spans="2:13" ht="12.75" x14ac:dyDescent="0.2">
      <c r="B784" s="51"/>
      <c r="M784" s="47"/>
    </row>
    <row r="785" spans="2:13" ht="12.75" x14ac:dyDescent="0.2">
      <c r="B785" s="51"/>
      <c r="M785" s="47"/>
    </row>
    <row r="786" spans="2:13" ht="12.75" x14ac:dyDescent="0.2">
      <c r="B786" s="51"/>
      <c r="M786" s="47"/>
    </row>
    <row r="787" spans="2:13" ht="12.75" x14ac:dyDescent="0.2">
      <c r="B787" s="51"/>
      <c r="M787" s="47"/>
    </row>
    <row r="788" spans="2:13" ht="12.75" x14ac:dyDescent="0.2">
      <c r="B788" s="51"/>
      <c r="M788" s="47"/>
    </row>
    <row r="789" spans="2:13" ht="12.75" x14ac:dyDescent="0.2">
      <c r="B789" s="51"/>
      <c r="M789" s="47"/>
    </row>
    <row r="790" spans="2:13" ht="12.75" x14ac:dyDescent="0.2">
      <c r="B790" s="51"/>
      <c r="M790" s="47"/>
    </row>
    <row r="791" spans="2:13" ht="12.75" x14ac:dyDescent="0.2">
      <c r="B791" s="51"/>
      <c r="M791" s="47"/>
    </row>
    <row r="792" spans="2:13" ht="12.75" x14ac:dyDescent="0.2">
      <c r="B792" s="51"/>
      <c r="M792" s="47"/>
    </row>
    <row r="793" spans="2:13" ht="12.75" x14ac:dyDescent="0.2">
      <c r="B793" s="51"/>
      <c r="M793" s="47"/>
    </row>
    <row r="794" spans="2:13" ht="12.75" x14ac:dyDescent="0.2">
      <c r="B794" s="51"/>
      <c r="M794" s="47"/>
    </row>
    <row r="795" spans="2:13" ht="12.75" x14ac:dyDescent="0.2">
      <c r="B795" s="51"/>
      <c r="M795" s="47"/>
    </row>
    <row r="796" spans="2:13" ht="12.75" x14ac:dyDescent="0.2">
      <c r="B796" s="51"/>
      <c r="M796" s="47"/>
    </row>
    <row r="797" spans="2:13" ht="12.75" x14ac:dyDescent="0.2">
      <c r="B797" s="51"/>
      <c r="M797" s="47"/>
    </row>
    <row r="798" spans="2:13" ht="12.75" x14ac:dyDescent="0.2">
      <c r="B798" s="51"/>
      <c r="M798" s="47"/>
    </row>
    <row r="799" spans="2:13" ht="12.75" x14ac:dyDescent="0.2">
      <c r="B799" s="51"/>
      <c r="M799" s="47"/>
    </row>
    <row r="800" spans="2:13" ht="12.75" x14ac:dyDescent="0.2">
      <c r="B800" s="51"/>
      <c r="M800" s="47"/>
    </row>
    <row r="801" spans="2:13" ht="12.75" x14ac:dyDescent="0.2">
      <c r="B801" s="51"/>
      <c r="M801" s="47"/>
    </row>
    <row r="802" spans="2:13" ht="12.75" x14ac:dyDescent="0.2">
      <c r="B802" s="51"/>
      <c r="M802" s="47"/>
    </row>
    <row r="803" spans="2:13" ht="12.75" x14ac:dyDescent="0.2">
      <c r="B803" s="51"/>
      <c r="M803" s="47"/>
    </row>
    <row r="804" spans="2:13" ht="12.75" x14ac:dyDescent="0.2">
      <c r="B804" s="51"/>
      <c r="M804" s="47"/>
    </row>
    <row r="805" spans="2:13" ht="12.75" x14ac:dyDescent="0.2">
      <c r="B805" s="51"/>
      <c r="M805" s="47"/>
    </row>
    <row r="806" spans="2:13" ht="12.75" x14ac:dyDescent="0.2">
      <c r="B806" s="51"/>
      <c r="M806" s="47"/>
    </row>
    <row r="807" spans="2:13" ht="12.75" x14ac:dyDescent="0.2">
      <c r="B807" s="51"/>
      <c r="M807" s="47"/>
    </row>
    <row r="808" spans="2:13" ht="12.75" x14ac:dyDescent="0.2">
      <c r="B808" s="51"/>
      <c r="M808" s="47"/>
    </row>
    <row r="809" spans="2:13" ht="12.75" x14ac:dyDescent="0.2">
      <c r="B809" s="51"/>
      <c r="M809" s="47"/>
    </row>
    <row r="810" spans="2:13" ht="12.75" x14ac:dyDescent="0.2">
      <c r="B810" s="51"/>
      <c r="M810" s="47"/>
    </row>
    <row r="811" spans="2:13" ht="12.75" x14ac:dyDescent="0.2">
      <c r="B811" s="51"/>
      <c r="M811" s="47"/>
    </row>
    <row r="812" spans="2:13" ht="12.75" x14ac:dyDescent="0.2">
      <c r="B812" s="51"/>
      <c r="M812" s="47"/>
    </row>
    <row r="813" spans="2:13" ht="12.75" x14ac:dyDescent="0.2">
      <c r="B813" s="51"/>
      <c r="M813" s="47"/>
    </row>
    <row r="814" spans="2:13" ht="12.75" x14ac:dyDescent="0.2">
      <c r="B814" s="51"/>
      <c r="M814" s="47"/>
    </row>
    <row r="815" spans="2:13" ht="12.75" x14ac:dyDescent="0.2">
      <c r="B815" s="51"/>
      <c r="M815" s="47"/>
    </row>
    <row r="816" spans="2:13" ht="12.75" x14ac:dyDescent="0.2">
      <c r="B816" s="51"/>
      <c r="M816" s="47"/>
    </row>
    <row r="817" spans="2:13" ht="12.75" x14ac:dyDescent="0.2">
      <c r="B817" s="51"/>
      <c r="M817" s="47"/>
    </row>
    <row r="818" spans="2:13" ht="12.75" x14ac:dyDescent="0.2">
      <c r="B818" s="51"/>
      <c r="M818" s="47"/>
    </row>
    <row r="819" spans="2:13" ht="12.75" x14ac:dyDescent="0.2">
      <c r="B819" s="51"/>
      <c r="M819" s="47"/>
    </row>
    <row r="820" spans="2:13" ht="12.75" x14ac:dyDescent="0.2">
      <c r="B820" s="51"/>
      <c r="M820" s="47"/>
    </row>
    <row r="821" spans="2:13" ht="12.75" x14ac:dyDescent="0.2">
      <c r="B821" s="51"/>
      <c r="M821" s="47"/>
    </row>
    <row r="822" spans="2:13" ht="12.75" x14ac:dyDescent="0.2">
      <c r="B822" s="51"/>
      <c r="M822" s="47"/>
    </row>
    <row r="823" spans="2:13" ht="12.75" x14ac:dyDescent="0.2">
      <c r="B823" s="51"/>
      <c r="M823" s="47"/>
    </row>
    <row r="824" spans="2:13" ht="12.75" x14ac:dyDescent="0.2">
      <c r="B824" s="51"/>
      <c r="M824" s="47"/>
    </row>
    <row r="825" spans="2:13" ht="12.75" x14ac:dyDescent="0.2">
      <c r="B825" s="51"/>
      <c r="M825" s="47"/>
    </row>
    <row r="826" spans="2:13" ht="12.75" x14ac:dyDescent="0.2">
      <c r="B826" s="51"/>
      <c r="M826" s="47"/>
    </row>
    <row r="827" spans="2:13" ht="12.75" x14ac:dyDescent="0.2">
      <c r="B827" s="51"/>
      <c r="M827" s="47"/>
    </row>
    <row r="828" spans="2:13" ht="12.75" x14ac:dyDescent="0.2">
      <c r="B828" s="51"/>
      <c r="M828" s="47"/>
    </row>
    <row r="829" spans="2:13" ht="12.75" x14ac:dyDescent="0.2">
      <c r="B829" s="51"/>
      <c r="M829" s="47"/>
    </row>
    <row r="830" spans="2:13" ht="12.75" x14ac:dyDescent="0.2">
      <c r="B830" s="51"/>
      <c r="M830" s="47"/>
    </row>
    <row r="831" spans="2:13" ht="12.75" x14ac:dyDescent="0.2">
      <c r="B831" s="51"/>
      <c r="M831" s="47"/>
    </row>
    <row r="832" spans="2:13" ht="12.75" x14ac:dyDescent="0.2">
      <c r="B832" s="51"/>
      <c r="M832" s="47"/>
    </row>
    <row r="833" spans="2:13" ht="12.75" x14ac:dyDescent="0.2">
      <c r="B833" s="51"/>
      <c r="M833" s="47"/>
    </row>
    <row r="834" spans="2:13" ht="12.75" x14ac:dyDescent="0.2">
      <c r="B834" s="51"/>
      <c r="M834" s="47"/>
    </row>
    <row r="835" spans="2:13" ht="12.75" x14ac:dyDescent="0.2">
      <c r="B835" s="51"/>
      <c r="M835" s="47"/>
    </row>
    <row r="836" spans="2:13" ht="12.75" x14ac:dyDescent="0.2">
      <c r="B836" s="51"/>
      <c r="M836" s="47"/>
    </row>
    <row r="837" spans="2:13" ht="12.75" x14ac:dyDescent="0.2">
      <c r="B837" s="51"/>
      <c r="M837" s="47"/>
    </row>
    <row r="838" spans="2:13" ht="12.75" x14ac:dyDescent="0.2">
      <c r="B838" s="51"/>
      <c r="M838" s="47"/>
    </row>
    <row r="839" spans="2:13" ht="12.75" x14ac:dyDescent="0.2">
      <c r="B839" s="51"/>
      <c r="M839" s="47"/>
    </row>
    <row r="840" spans="2:13" ht="12.75" x14ac:dyDescent="0.2">
      <c r="B840" s="51"/>
      <c r="M840" s="47"/>
    </row>
    <row r="841" spans="2:13" ht="12.75" x14ac:dyDescent="0.2">
      <c r="B841" s="51"/>
      <c r="M841" s="47"/>
    </row>
    <row r="842" spans="2:13" ht="12.75" x14ac:dyDescent="0.2">
      <c r="B842" s="51"/>
      <c r="M842" s="47"/>
    </row>
    <row r="843" spans="2:13" ht="12.75" x14ac:dyDescent="0.2">
      <c r="B843" s="51"/>
      <c r="M843" s="47"/>
    </row>
    <row r="844" spans="2:13" ht="12.75" x14ac:dyDescent="0.2">
      <c r="B844" s="51"/>
      <c r="M844" s="47"/>
    </row>
    <row r="845" spans="2:13" ht="12.75" x14ac:dyDescent="0.2">
      <c r="B845" s="51"/>
      <c r="M845" s="47"/>
    </row>
    <row r="846" spans="2:13" ht="12.75" x14ac:dyDescent="0.2">
      <c r="B846" s="51"/>
      <c r="M846" s="47"/>
    </row>
    <row r="847" spans="2:13" ht="12.75" x14ac:dyDescent="0.2">
      <c r="B847" s="51"/>
      <c r="M847" s="47"/>
    </row>
    <row r="848" spans="2:13" ht="12.75" x14ac:dyDescent="0.2">
      <c r="B848" s="51"/>
      <c r="M848" s="47"/>
    </row>
    <row r="849" spans="2:13" ht="12.75" x14ac:dyDescent="0.2">
      <c r="B849" s="51"/>
      <c r="M849" s="47"/>
    </row>
    <row r="850" spans="2:13" ht="12.75" x14ac:dyDescent="0.2">
      <c r="B850" s="51"/>
      <c r="M850" s="47"/>
    </row>
    <row r="851" spans="2:13" ht="12.75" x14ac:dyDescent="0.2">
      <c r="B851" s="51"/>
      <c r="M851" s="47"/>
    </row>
    <row r="852" spans="2:13" ht="12.75" x14ac:dyDescent="0.2">
      <c r="B852" s="51"/>
      <c r="M852" s="47"/>
    </row>
    <row r="853" spans="2:13" ht="12.75" x14ac:dyDescent="0.2">
      <c r="B853" s="51"/>
      <c r="M853" s="47"/>
    </row>
    <row r="854" spans="2:13" ht="12.75" x14ac:dyDescent="0.2">
      <c r="B854" s="51"/>
      <c r="M854" s="47"/>
    </row>
    <row r="855" spans="2:13" ht="12.75" x14ac:dyDescent="0.2">
      <c r="B855" s="51"/>
      <c r="M855" s="47"/>
    </row>
    <row r="856" spans="2:13" ht="12.75" x14ac:dyDescent="0.2">
      <c r="B856" s="51"/>
      <c r="M856" s="47"/>
    </row>
    <row r="857" spans="2:13" ht="12.75" x14ac:dyDescent="0.2">
      <c r="B857" s="51"/>
      <c r="M857" s="47"/>
    </row>
    <row r="858" spans="2:13" ht="12.75" x14ac:dyDescent="0.2">
      <c r="B858" s="51"/>
      <c r="M858" s="47"/>
    </row>
    <row r="859" spans="2:13" ht="12.75" x14ac:dyDescent="0.2">
      <c r="B859" s="51"/>
      <c r="M859" s="47"/>
    </row>
    <row r="860" spans="2:13" ht="12.75" x14ac:dyDescent="0.2">
      <c r="B860" s="51"/>
      <c r="M860" s="47"/>
    </row>
    <row r="861" spans="2:13" ht="12.75" x14ac:dyDescent="0.2">
      <c r="B861" s="51"/>
      <c r="M861" s="47"/>
    </row>
    <row r="862" spans="2:13" ht="12.75" x14ac:dyDescent="0.2">
      <c r="B862" s="51"/>
      <c r="M862" s="47"/>
    </row>
    <row r="863" spans="2:13" ht="12.75" x14ac:dyDescent="0.2">
      <c r="B863" s="51"/>
      <c r="M863" s="47"/>
    </row>
    <row r="864" spans="2:13" ht="12.75" x14ac:dyDescent="0.2">
      <c r="B864" s="51"/>
      <c r="M864" s="47"/>
    </row>
    <row r="865" spans="2:13" ht="12.75" x14ac:dyDescent="0.2">
      <c r="B865" s="51"/>
      <c r="M865" s="47"/>
    </row>
    <row r="866" spans="2:13" ht="12.75" x14ac:dyDescent="0.2">
      <c r="B866" s="51"/>
      <c r="M866" s="47"/>
    </row>
    <row r="867" spans="2:13" ht="12.75" x14ac:dyDescent="0.2">
      <c r="B867" s="51"/>
      <c r="M867" s="47"/>
    </row>
    <row r="868" spans="2:13" ht="12.75" x14ac:dyDescent="0.2">
      <c r="B868" s="51"/>
      <c r="M868" s="47"/>
    </row>
    <row r="869" spans="2:13" ht="12.75" x14ac:dyDescent="0.2">
      <c r="B869" s="51"/>
      <c r="M869" s="47"/>
    </row>
    <row r="870" spans="2:13" ht="12.75" x14ac:dyDescent="0.2">
      <c r="B870" s="51"/>
      <c r="M870" s="47"/>
    </row>
    <row r="871" spans="2:13" ht="12.75" x14ac:dyDescent="0.2">
      <c r="B871" s="51"/>
      <c r="M871" s="47"/>
    </row>
    <row r="872" spans="2:13" ht="12.75" x14ac:dyDescent="0.2">
      <c r="B872" s="51"/>
      <c r="M872" s="47"/>
    </row>
    <row r="873" spans="2:13" ht="12.75" x14ac:dyDescent="0.2">
      <c r="B873" s="51"/>
      <c r="M873" s="47"/>
    </row>
    <row r="874" spans="2:13" ht="12.75" x14ac:dyDescent="0.2">
      <c r="B874" s="51"/>
      <c r="M874" s="47"/>
    </row>
    <row r="875" spans="2:13" ht="12.75" x14ac:dyDescent="0.2">
      <c r="B875" s="51"/>
      <c r="M875" s="47"/>
    </row>
    <row r="876" spans="2:13" ht="12.75" x14ac:dyDescent="0.2">
      <c r="B876" s="51"/>
      <c r="M876" s="47"/>
    </row>
    <row r="877" spans="2:13" ht="12.75" x14ac:dyDescent="0.2">
      <c r="B877" s="51"/>
      <c r="M877" s="47"/>
    </row>
    <row r="878" spans="2:13" ht="12.75" x14ac:dyDescent="0.2">
      <c r="B878" s="51"/>
      <c r="M878" s="47"/>
    </row>
    <row r="879" spans="2:13" ht="12.75" x14ac:dyDescent="0.2">
      <c r="B879" s="51"/>
      <c r="M879" s="47"/>
    </row>
    <row r="880" spans="2:13" ht="12.75" x14ac:dyDescent="0.2">
      <c r="B880" s="51"/>
      <c r="M880" s="47"/>
    </row>
    <row r="881" spans="2:13" ht="12.75" x14ac:dyDescent="0.2">
      <c r="B881" s="51"/>
      <c r="M881" s="47"/>
    </row>
    <row r="882" spans="2:13" ht="12.75" x14ac:dyDescent="0.2">
      <c r="B882" s="51"/>
      <c r="M882" s="47"/>
    </row>
    <row r="883" spans="2:13" ht="12.75" x14ac:dyDescent="0.2">
      <c r="B883" s="51"/>
      <c r="M883" s="47"/>
    </row>
    <row r="884" spans="2:13" ht="12.75" x14ac:dyDescent="0.2">
      <c r="B884" s="51"/>
      <c r="M884" s="47"/>
    </row>
    <row r="885" spans="2:13" ht="12.75" x14ac:dyDescent="0.2">
      <c r="B885" s="51"/>
      <c r="M885" s="47"/>
    </row>
    <row r="886" spans="2:13" ht="12.75" x14ac:dyDescent="0.2">
      <c r="B886" s="51"/>
      <c r="M886" s="47"/>
    </row>
    <row r="887" spans="2:13" ht="12.75" x14ac:dyDescent="0.2">
      <c r="B887" s="51"/>
      <c r="M887" s="47"/>
    </row>
    <row r="888" spans="2:13" ht="12.75" x14ac:dyDescent="0.2">
      <c r="B888" s="51"/>
      <c r="M888" s="47"/>
    </row>
    <row r="889" spans="2:13" ht="12.75" x14ac:dyDescent="0.2">
      <c r="B889" s="51"/>
      <c r="M889" s="47"/>
    </row>
    <row r="890" spans="2:13" ht="12.75" x14ac:dyDescent="0.2">
      <c r="B890" s="51"/>
      <c r="M890" s="47"/>
    </row>
    <row r="891" spans="2:13" ht="12.75" x14ac:dyDescent="0.2">
      <c r="B891" s="51"/>
      <c r="M891" s="47"/>
    </row>
    <row r="892" spans="2:13" ht="12.75" x14ac:dyDescent="0.2">
      <c r="B892" s="51"/>
      <c r="M892" s="47"/>
    </row>
    <row r="893" spans="2:13" ht="12.75" x14ac:dyDescent="0.2">
      <c r="B893" s="51"/>
      <c r="M893" s="47"/>
    </row>
    <row r="894" spans="2:13" ht="12.75" x14ac:dyDescent="0.2">
      <c r="B894" s="51"/>
      <c r="M894" s="47"/>
    </row>
    <row r="895" spans="2:13" ht="12.75" x14ac:dyDescent="0.2">
      <c r="B895" s="51"/>
      <c r="M895" s="47"/>
    </row>
    <row r="896" spans="2:13" ht="12.75" x14ac:dyDescent="0.2">
      <c r="B896" s="51"/>
      <c r="M896" s="47"/>
    </row>
    <row r="897" spans="2:13" ht="12.75" x14ac:dyDescent="0.2">
      <c r="B897" s="51"/>
      <c r="M897" s="47"/>
    </row>
    <row r="898" spans="2:13" ht="12.75" x14ac:dyDescent="0.2">
      <c r="B898" s="51"/>
      <c r="M898" s="47"/>
    </row>
    <row r="899" spans="2:13" ht="12.75" x14ac:dyDescent="0.2">
      <c r="B899" s="51"/>
      <c r="M899" s="47"/>
    </row>
    <row r="900" spans="2:13" ht="12.75" x14ac:dyDescent="0.2">
      <c r="B900" s="51"/>
      <c r="M900" s="47"/>
    </row>
    <row r="901" spans="2:13" ht="12.75" x14ac:dyDescent="0.2">
      <c r="B901" s="51"/>
      <c r="M901" s="47"/>
    </row>
    <row r="902" spans="2:13" ht="12.75" x14ac:dyDescent="0.2">
      <c r="B902" s="51"/>
      <c r="M902" s="47"/>
    </row>
    <row r="903" spans="2:13" ht="12.75" x14ac:dyDescent="0.2">
      <c r="B903" s="51"/>
      <c r="M903" s="47"/>
    </row>
    <row r="904" spans="2:13" ht="12.75" x14ac:dyDescent="0.2">
      <c r="B904" s="51"/>
      <c r="M904" s="47"/>
    </row>
    <row r="905" spans="2:13" ht="12.75" x14ac:dyDescent="0.2">
      <c r="B905" s="51"/>
      <c r="M905" s="47"/>
    </row>
    <row r="906" spans="2:13" ht="12.75" x14ac:dyDescent="0.2">
      <c r="B906" s="51"/>
      <c r="M906" s="47"/>
    </row>
    <row r="907" spans="2:13" ht="12.75" x14ac:dyDescent="0.2">
      <c r="B907" s="51"/>
      <c r="M907" s="47"/>
    </row>
    <row r="908" spans="2:13" ht="12.75" x14ac:dyDescent="0.2">
      <c r="B908" s="51"/>
      <c r="M908" s="47"/>
    </row>
    <row r="909" spans="2:13" ht="12.75" x14ac:dyDescent="0.2">
      <c r="B909" s="51"/>
      <c r="M909" s="47"/>
    </row>
    <row r="910" spans="2:13" ht="12.75" x14ac:dyDescent="0.2">
      <c r="B910" s="51"/>
      <c r="M910" s="47"/>
    </row>
    <row r="911" spans="2:13" ht="12.75" x14ac:dyDescent="0.2">
      <c r="B911" s="51"/>
      <c r="M911" s="47"/>
    </row>
    <row r="912" spans="2:13" ht="12.75" x14ac:dyDescent="0.2">
      <c r="B912" s="51"/>
      <c r="M912" s="47"/>
    </row>
    <row r="913" spans="2:13" ht="12.75" x14ac:dyDescent="0.2">
      <c r="B913" s="51"/>
      <c r="M913" s="47"/>
    </row>
    <row r="914" spans="2:13" ht="12.75" x14ac:dyDescent="0.2">
      <c r="B914" s="51"/>
      <c r="M914" s="47"/>
    </row>
    <row r="915" spans="2:13" ht="12.75" x14ac:dyDescent="0.2">
      <c r="B915" s="51"/>
      <c r="M915" s="47"/>
    </row>
    <row r="916" spans="2:13" ht="12.75" x14ac:dyDescent="0.2">
      <c r="B916" s="51"/>
      <c r="M916" s="47"/>
    </row>
    <row r="917" spans="2:13" ht="12.75" x14ac:dyDescent="0.2">
      <c r="B917" s="51"/>
      <c r="M917" s="47"/>
    </row>
    <row r="918" spans="2:13" ht="12.75" x14ac:dyDescent="0.2">
      <c r="B918" s="51"/>
      <c r="M918" s="47"/>
    </row>
    <row r="919" spans="2:13" ht="12.75" x14ac:dyDescent="0.2">
      <c r="B919" s="51"/>
      <c r="M919" s="47"/>
    </row>
    <row r="920" spans="2:13" ht="12.75" x14ac:dyDescent="0.2">
      <c r="B920" s="51"/>
      <c r="M920" s="47"/>
    </row>
    <row r="921" spans="2:13" ht="12.75" x14ac:dyDescent="0.2">
      <c r="B921" s="51"/>
      <c r="M921" s="47"/>
    </row>
    <row r="922" spans="2:13" ht="12.75" x14ac:dyDescent="0.2">
      <c r="B922" s="51"/>
      <c r="M922" s="47"/>
    </row>
    <row r="923" spans="2:13" ht="12.75" x14ac:dyDescent="0.2">
      <c r="B923" s="51"/>
      <c r="M923" s="47"/>
    </row>
    <row r="924" spans="2:13" ht="12.75" x14ac:dyDescent="0.2">
      <c r="B924" s="51"/>
      <c r="M924" s="47"/>
    </row>
    <row r="925" spans="2:13" ht="12.75" x14ac:dyDescent="0.2">
      <c r="B925" s="51"/>
      <c r="M925" s="47"/>
    </row>
    <row r="926" spans="2:13" ht="12.75" x14ac:dyDescent="0.2">
      <c r="B926" s="51"/>
      <c r="M926" s="47"/>
    </row>
    <row r="927" spans="2:13" ht="12.75" x14ac:dyDescent="0.2">
      <c r="B927" s="51"/>
      <c r="M927" s="47"/>
    </row>
    <row r="928" spans="2:13" ht="12.75" x14ac:dyDescent="0.2">
      <c r="B928" s="51"/>
      <c r="M928" s="47"/>
    </row>
    <row r="929" spans="2:13" ht="12.75" x14ac:dyDescent="0.2">
      <c r="B929" s="51"/>
      <c r="M929" s="47"/>
    </row>
    <row r="930" spans="2:13" ht="12.75" x14ac:dyDescent="0.2">
      <c r="B930" s="51"/>
      <c r="M930" s="47"/>
    </row>
    <row r="931" spans="2:13" ht="12.75" x14ac:dyDescent="0.2">
      <c r="B931" s="51"/>
      <c r="M931" s="47"/>
    </row>
    <row r="932" spans="2:13" ht="12.75" x14ac:dyDescent="0.2">
      <c r="B932" s="51"/>
      <c r="M932" s="47"/>
    </row>
    <row r="933" spans="2:13" ht="12.75" x14ac:dyDescent="0.2">
      <c r="B933" s="51"/>
      <c r="M933" s="47"/>
    </row>
    <row r="934" spans="2:13" ht="12.75" x14ac:dyDescent="0.2">
      <c r="B934" s="51"/>
      <c r="M934" s="47"/>
    </row>
    <row r="935" spans="2:13" ht="12.75" x14ac:dyDescent="0.2">
      <c r="B935" s="51"/>
      <c r="M935" s="47"/>
    </row>
    <row r="936" spans="2:13" ht="12.75" x14ac:dyDescent="0.2">
      <c r="B936" s="51"/>
      <c r="M936" s="47"/>
    </row>
    <row r="937" spans="2:13" ht="12.75" x14ac:dyDescent="0.2">
      <c r="B937" s="51"/>
      <c r="M937" s="47"/>
    </row>
    <row r="938" spans="2:13" ht="12.75" x14ac:dyDescent="0.2">
      <c r="B938" s="51"/>
      <c r="M938" s="47"/>
    </row>
    <row r="939" spans="2:13" ht="12.75" x14ac:dyDescent="0.2">
      <c r="B939" s="51"/>
      <c r="M939" s="47"/>
    </row>
    <row r="940" spans="2:13" ht="12.75" x14ac:dyDescent="0.2">
      <c r="B940" s="51"/>
      <c r="M940" s="47"/>
    </row>
    <row r="941" spans="2:13" ht="12.75" x14ac:dyDescent="0.2">
      <c r="B941" s="51"/>
      <c r="M941" s="47"/>
    </row>
    <row r="942" spans="2:13" ht="12.75" x14ac:dyDescent="0.2">
      <c r="B942" s="51"/>
      <c r="M942" s="47"/>
    </row>
    <row r="943" spans="2:13" ht="12.75" x14ac:dyDescent="0.2">
      <c r="B943" s="51"/>
      <c r="M943" s="47"/>
    </row>
    <row r="944" spans="2:13" ht="12.75" x14ac:dyDescent="0.2">
      <c r="B944" s="51"/>
      <c r="M944" s="47"/>
    </row>
    <row r="945" spans="2:13" ht="12.75" x14ac:dyDescent="0.2">
      <c r="B945" s="51"/>
      <c r="M945" s="47"/>
    </row>
    <row r="946" spans="2:13" ht="12.75" x14ac:dyDescent="0.2">
      <c r="B946" s="51"/>
      <c r="M946" s="47"/>
    </row>
    <row r="947" spans="2:13" ht="12.75" x14ac:dyDescent="0.2">
      <c r="B947" s="51"/>
      <c r="M947" s="47"/>
    </row>
    <row r="948" spans="2:13" ht="12.75" x14ac:dyDescent="0.2">
      <c r="B948" s="51"/>
      <c r="M948" s="47"/>
    </row>
    <row r="949" spans="2:13" ht="12.75" x14ac:dyDescent="0.2">
      <c r="B949" s="51"/>
      <c r="M949" s="47"/>
    </row>
    <row r="950" spans="2:13" ht="12.75" x14ac:dyDescent="0.2">
      <c r="B950" s="51"/>
      <c r="M950" s="47"/>
    </row>
    <row r="951" spans="2:13" ht="12.75" x14ac:dyDescent="0.2">
      <c r="B951" s="51"/>
      <c r="M951" s="47"/>
    </row>
    <row r="952" spans="2:13" ht="12.75" x14ac:dyDescent="0.2">
      <c r="B952" s="51"/>
      <c r="M952" s="47"/>
    </row>
    <row r="953" spans="2:13" ht="12.75" x14ac:dyDescent="0.2">
      <c r="B953" s="51"/>
      <c r="M953" s="47"/>
    </row>
    <row r="954" spans="2:13" ht="12.75" x14ac:dyDescent="0.2">
      <c r="B954" s="51"/>
      <c r="M954" s="47"/>
    </row>
    <row r="955" spans="2:13" ht="12.75" x14ac:dyDescent="0.2">
      <c r="B955" s="51"/>
      <c r="M955" s="47"/>
    </row>
    <row r="956" spans="2:13" ht="12.75" x14ac:dyDescent="0.2">
      <c r="B956" s="51"/>
      <c r="M956" s="47"/>
    </row>
    <row r="957" spans="2:13" ht="12.75" x14ac:dyDescent="0.2">
      <c r="B957" s="51"/>
      <c r="M957" s="47"/>
    </row>
    <row r="958" spans="2:13" ht="12.75" x14ac:dyDescent="0.2">
      <c r="B958" s="51"/>
      <c r="M958" s="47"/>
    </row>
    <row r="959" spans="2:13" ht="12.75" x14ac:dyDescent="0.2">
      <c r="B959" s="51"/>
      <c r="M959" s="47"/>
    </row>
    <row r="960" spans="2:13" ht="12.75" x14ac:dyDescent="0.2">
      <c r="B960" s="51"/>
      <c r="M960" s="47"/>
    </row>
    <row r="961" spans="2:13" ht="12.75" x14ac:dyDescent="0.2">
      <c r="B961" s="51"/>
      <c r="M961" s="47"/>
    </row>
    <row r="962" spans="2:13" ht="12.75" x14ac:dyDescent="0.2">
      <c r="B962" s="51"/>
      <c r="M962" s="47"/>
    </row>
    <row r="963" spans="2:13" ht="12.75" x14ac:dyDescent="0.2">
      <c r="B963" s="51"/>
      <c r="M963" s="47"/>
    </row>
    <row r="964" spans="2:13" ht="12.75" x14ac:dyDescent="0.2">
      <c r="B964" s="51"/>
      <c r="M964" s="47"/>
    </row>
    <row r="965" spans="2:13" ht="12.75" x14ac:dyDescent="0.2">
      <c r="B965" s="51"/>
      <c r="M965" s="47"/>
    </row>
    <row r="966" spans="2:13" ht="12.75" x14ac:dyDescent="0.2">
      <c r="B966" s="51"/>
      <c r="M966" s="47"/>
    </row>
    <row r="967" spans="2:13" ht="12.75" x14ac:dyDescent="0.2">
      <c r="B967" s="51"/>
      <c r="M967" s="47"/>
    </row>
    <row r="968" spans="2:13" ht="12.75" x14ac:dyDescent="0.2">
      <c r="B968" s="51"/>
      <c r="M968" s="47"/>
    </row>
    <row r="969" spans="2:13" ht="12.75" x14ac:dyDescent="0.2">
      <c r="B969" s="51"/>
      <c r="M969" s="47"/>
    </row>
    <row r="970" spans="2:13" ht="12.75" x14ac:dyDescent="0.2">
      <c r="B970" s="51"/>
      <c r="M970" s="47"/>
    </row>
    <row r="971" spans="2:13" ht="12.75" x14ac:dyDescent="0.2">
      <c r="B971" s="51"/>
      <c r="M971" s="47"/>
    </row>
    <row r="972" spans="2:13" ht="12.75" x14ac:dyDescent="0.2">
      <c r="B972" s="51"/>
      <c r="M972" s="47"/>
    </row>
    <row r="973" spans="2:13" ht="12.75" x14ac:dyDescent="0.2">
      <c r="B973" s="51"/>
      <c r="M973" s="47"/>
    </row>
    <row r="974" spans="2:13" ht="12.75" x14ac:dyDescent="0.2">
      <c r="B974" s="51"/>
      <c r="M974" s="47"/>
    </row>
    <row r="975" spans="2:13" ht="12.75" x14ac:dyDescent="0.2">
      <c r="B975" s="51"/>
      <c r="M975" s="47"/>
    </row>
    <row r="976" spans="2:13" ht="12.75" x14ac:dyDescent="0.2">
      <c r="B976" s="51"/>
      <c r="M976" s="47"/>
    </row>
    <row r="977" spans="2:13" ht="12.75" x14ac:dyDescent="0.2">
      <c r="B977" s="51"/>
      <c r="M977" s="47"/>
    </row>
    <row r="978" spans="2:13" ht="12.75" x14ac:dyDescent="0.2">
      <c r="B978" s="51"/>
      <c r="M978" s="47"/>
    </row>
    <row r="979" spans="2:13" ht="12.75" x14ac:dyDescent="0.2">
      <c r="B979" s="51"/>
      <c r="M979" s="47"/>
    </row>
    <row r="980" spans="2:13" ht="12.75" x14ac:dyDescent="0.2">
      <c r="B980" s="51"/>
      <c r="M980" s="47"/>
    </row>
    <row r="981" spans="2:13" ht="12.75" x14ac:dyDescent="0.2">
      <c r="B981" s="51"/>
      <c r="M981" s="47"/>
    </row>
    <row r="982" spans="2:13" ht="12.75" x14ac:dyDescent="0.2">
      <c r="B982" s="51"/>
      <c r="M982" s="47"/>
    </row>
    <row r="983" spans="2:13" ht="12.75" x14ac:dyDescent="0.2">
      <c r="B983" s="51"/>
      <c r="M983" s="47"/>
    </row>
    <row r="984" spans="2:13" ht="12.75" x14ac:dyDescent="0.2">
      <c r="B984" s="51"/>
      <c r="M984" s="47"/>
    </row>
    <row r="985" spans="2:13" ht="12.75" x14ac:dyDescent="0.2">
      <c r="B985" s="51"/>
      <c r="M985" s="47"/>
    </row>
    <row r="986" spans="2:13" ht="12.75" x14ac:dyDescent="0.2">
      <c r="M986" s="47"/>
    </row>
    <row r="987" spans="2:13" ht="12.75" x14ac:dyDescent="0.2">
      <c r="M987" s="47"/>
    </row>
    <row r="988" spans="2:13" ht="12.75" x14ac:dyDescent="0.2">
      <c r="M988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2026-06-10T13:29:53Z</dcterms:modified>
</cp:coreProperties>
</file>